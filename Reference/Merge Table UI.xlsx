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XenAnalyticTransl\Reference\"/>
    </mc:Choice>
  </mc:AlternateContent>
  <xr:revisionPtr revIDLastSave="0" documentId="13_ncr:1_{1E43D1D8-278F-484D-8A30-C809F0FDACAA}" xr6:coauthVersionLast="47" xr6:coauthVersionMax="47" xr10:uidLastSave="{00000000-0000-0000-0000-000000000000}"/>
  <bookViews>
    <workbookView xWindow="-110" yWindow="-110" windowWidth="19420" windowHeight="11500" firstSheet="2" activeTab="6" xr2:uid="{31D85F91-40ED-4F68-9A5B-7EC9EBBDCEBE}"/>
  </bookViews>
  <sheets>
    <sheet name="Sheet1" sheetId="1" state="hidden" r:id="rId1"/>
    <sheet name="Sheet1 (2)" sheetId="5" state="hidden" r:id="rId2"/>
    <sheet name="merge 1-3" sheetId="8" r:id="rId3"/>
    <sheet name="top arrow" sheetId="4" r:id="rId4"/>
    <sheet name="mid arrow 1" sheetId="6" r:id="rId5"/>
    <sheet name="mid arrow 2" sheetId="7" r:id="rId6"/>
    <sheet name="bottom arrow"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N2" i="5"/>
  <c r="M3" i="5"/>
  <c r="N3" i="5"/>
  <c r="M4" i="5"/>
  <c r="N4" i="5"/>
  <c r="M5" i="5"/>
  <c r="N5" i="5"/>
  <c r="M6" i="5"/>
  <c r="N6" i="5"/>
  <c r="M7" i="5"/>
  <c r="N7" i="5"/>
  <c r="M8" i="5"/>
  <c r="N8" i="5"/>
  <c r="M9" i="5"/>
  <c r="N9" i="5"/>
  <c r="M10" i="5"/>
  <c r="N10" i="5" s="1"/>
  <c r="M11" i="5"/>
  <c r="N11" i="5"/>
  <c r="M12" i="5"/>
  <c r="N12" i="5"/>
  <c r="M13" i="5"/>
  <c r="N13" i="5"/>
  <c r="M14" i="5"/>
  <c r="N14" i="5"/>
  <c r="M15" i="5"/>
  <c r="N15" i="5"/>
  <c r="M16" i="5"/>
  <c r="N16" i="5" s="1"/>
  <c r="M17" i="5"/>
  <c r="N17" i="5" s="1"/>
  <c r="M18" i="5"/>
  <c r="N18" i="5"/>
  <c r="M19" i="5"/>
  <c r="N19" i="5" s="1"/>
  <c r="M20" i="5"/>
  <c r="N20" i="5" s="1"/>
  <c r="M21" i="5"/>
  <c r="N21" i="5" s="1"/>
  <c r="M22" i="5"/>
  <c r="N22" i="5" s="1"/>
  <c r="M23" i="5"/>
  <c r="N23" i="5" s="1"/>
  <c r="L23" i="5"/>
  <c r="K23" i="5"/>
  <c r="L22" i="5"/>
  <c r="K22" i="5"/>
  <c r="L21" i="5"/>
  <c r="K21" i="5"/>
  <c r="L20" i="5"/>
  <c r="K20" i="5"/>
  <c r="L19" i="5"/>
  <c r="K19" i="5"/>
  <c r="L18" i="5"/>
  <c r="K18" i="5"/>
  <c r="X17" i="5"/>
  <c r="L17" i="5"/>
  <c r="K17" i="5"/>
  <c r="X16" i="5"/>
  <c r="L16" i="5"/>
  <c r="K16" i="5"/>
  <c r="X15" i="5"/>
  <c r="L15" i="5"/>
  <c r="K15" i="5"/>
  <c r="X14" i="5"/>
  <c r="L14" i="5"/>
  <c r="K14" i="5"/>
  <c r="X13" i="5"/>
  <c r="L13" i="5"/>
  <c r="K13" i="5"/>
  <c r="X12" i="5"/>
  <c r="L12" i="5"/>
  <c r="K12" i="5"/>
  <c r="X11" i="5"/>
  <c r="L11" i="5"/>
  <c r="K11" i="5"/>
  <c r="X10" i="5"/>
  <c r="L10" i="5"/>
  <c r="K10" i="5"/>
  <c r="X9" i="5"/>
  <c r="L9" i="5"/>
  <c r="K9" i="5"/>
  <c r="X8" i="5"/>
  <c r="L8" i="5"/>
  <c r="K8" i="5"/>
  <c r="X7" i="5"/>
  <c r="L7" i="5"/>
  <c r="K7" i="5"/>
  <c r="X6" i="5"/>
  <c r="L6" i="5"/>
  <c r="K6" i="5"/>
  <c r="X5" i="5"/>
  <c r="L5" i="5"/>
  <c r="K5" i="5"/>
  <c r="X4" i="5"/>
  <c r="L4" i="5"/>
  <c r="K4" i="5"/>
  <c r="X3" i="5"/>
  <c r="L3" i="5"/>
  <c r="K3" i="5"/>
  <c r="X2" i="5"/>
  <c r="L2" i="5"/>
  <c r="K2" i="5"/>
  <c r="X3" i="1"/>
  <c r="X4" i="1"/>
  <c r="X5" i="1"/>
  <c r="X6" i="1"/>
  <c r="X7" i="1"/>
  <c r="X8" i="1"/>
  <c r="X9" i="1"/>
  <c r="X10" i="1"/>
  <c r="X11" i="1"/>
  <c r="X12" i="1"/>
  <c r="X13" i="1"/>
  <c r="X14" i="1"/>
  <c r="X15" i="1"/>
  <c r="X16" i="1"/>
  <c r="X17" i="1"/>
  <c r="X2" i="1"/>
  <c r="L23" i="1"/>
  <c r="L3" i="1"/>
  <c r="L4" i="1"/>
  <c r="L5" i="1"/>
  <c r="L6" i="1"/>
  <c r="L7" i="1"/>
  <c r="L8" i="1"/>
  <c r="L9" i="1"/>
  <c r="L10" i="1"/>
  <c r="L11" i="1"/>
  <c r="L12" i="1"/>
  <c r="L13" i="1"/>
  <c r="L14" i="1"/>
  <c r="L15" i="1"/>
  <c r="L16" i="1"/>
  <c r="L17" i="1"/>
  <c r="L18" i="1"/>
  <c r="L19" i="1"/>
  <c r="L20" i="1"/>
  <c r="L21" i="1"/>
  <c r="L22" i="1"/>
  <c r="K3" i="1"/>
  <c r="M3" i="1" s="1"/>
  <c r="N3" i="1" s="1"/>
  <c r="K4" i="1"/>
  <c r="M4" i="1" s="1"/>
  <c r="K5" i="1"/>
  <c r="M5" i="1" s="1"/>
  <c r="K6" i="1"/>
  <c r="M6" i="1" s="1"/>
  <c r="N6" i="1" s="1"/>
  <c r="K7" i="1"/>
  <c r="M7" i="1" s="1"/>
  <c r="N7" i="1" s="1"/>
  <c r="K8" i="1"/>
  <c r="M8" i="1" s="1"/>
  <c r="N8" i="1" s="1"/>
  <c r="K9" i="1"/>
  <c r="M9" i="1" s="1"/>
  <c r="N9" i="1" s="1"/>
  <c r="K10" i="1"/>
  <c r="M10" i="1" s="1"/>
  <c r="N10" i="1" s="1"/>
  <c r="K11" i="1"/>
  <c r="M11" i="1" s="1"/>
  <c r="N11" i="1" s="1"/>
  <c r="K12" i="1"/>
  <c r="M12" i="1" s="1"/>
  <c r="N12" i="1" s="1"/>
  <c r="K13" i="1"/>
  <c r="M13" i="1" s="1"/>
  <c r="N13" i="1" s="1"/>
  <c r="K14" i="1"/>
  <c r="M14" i="1" s="1"/>
  <c r="N14" i="1" s="1"/>
  <c r="K15" i="1"/>
  <c r="M15" i="1" s="1"/>
  <c r="N15" i="1" s="1"/>
  <c r="K16" i="1"/>
  <c r="M16" i="1" s="1"/>
  <c r="N16" i="1" s="1"/>
  <c r="K17" i="1"/>
  <c r="M17" i="1" s="1"/>
  <c r="N17" i="1" s="1"/>
  <c r="K18" i="1"/>
  <c r="M18" i="1" s="1"/>
  <c r="N18" i="1" s="1"/>
  <c r="K19" i="1"/>
  <c r="M19" i="1" s="1"/>
  <c r="N19" i="1" s="1"/>
  <c r="K20" i="1"/>
  <c r="M20" i="1" s="1"/>
  <c r="N20" i="1" s="1"/>
  <c r="K21" i="1"/>
  <c r="M21" i="1" s="1"/>
  <c r="N21" i="1" s="1"/>
  <c r="K22" i="1"/>
  <c r="M22" i="1" s="1"/>
  <c r="N22" i="1" s="1"/>
  <c r="K23" i="1"/>
  <c r="M23" i="1" s="1"/>
  <c r="N23" i="1" s="1"/>
  <c r="K2" i="1"/>
  <c r="M2" i="1" s="1"/>
  <c r="N2" i="1" s="1"/>
  <c r="L2" i="1"/>
  <c r="N5" i="1" l="1"/>
  <c r="N4" i="1"/>
</calcChain>
</file>

<file path=xl/sharedStrings.xml><?xml version="1.0" encoding="utf-8"?>
<sst xmlns="http://schemas.openxmlformats.org/spreadsheetml/2006/main" count="811" uniqueCount="100">
  <si>
    <t>ProfileId</t>
  </si>
  <si>
    <t>PropertyTermName</t>
  </si>
  <si>
    <t>Auto</t>
  </si>
  <si>
    <t>Manual</t>
  </si>
  <si>
    <t>Trip Off</t>
  </si>
  <si>
    <t>Trip On</t>
  </si>
  <si>
    <t>Start</t>
  </si>
  <si>
    <t>Stop</t>
  </si>
  <si>
    <t>On</t>
  </si>
  <si>
    <t>Off</t>
  </si>
  <si>
    <t>Run</t>
  </si>
  <si>
    <t>Fulfilled</t>
  </si>
  <si>
    <t>Unfulfilled</t>
  </si>
  <si>
    <t>StatementPropertyId</t>
  </si>
  <si>
    <t>PlcValue</t>
  </si>
  <si>
    <t>StatementPropertyName</t>
  </si>
  <si>
    <t>PlcFunctionId</t>
  </si>
  <si>
    <t>PlcVariable</t>
  </si>
  <si>
    <t>Operation Mode</t>
  </si>
  <si>
    <t>blnMA</t>
  </si>
  <si>
    <t>MCC Trip</t>
  </si>
  <si>
    <t>New Instance</t>
  </si>
  <si>
    <t>VOP</t>
  </si>
  <si>
    <t>blnMC</t>
  </si>
  <si>
    <t>Trip Signal</t>
  </si>
  <si>
    <t>blnTRP</t>
  </si>
  <si>
    <t>Operation Signal</t>
  </si>
  <si>
    <t>blnRUN</t>
  </si>
  <si>
    <t>Command</t>
  </si>
  <si>
    <t>blnOut</t>
  </si>
  <si>
    <t>PLC Initialize</t>
  </si>
  <si>
    <t>PLCInit</t>
  </si>
  <si>
    <t>Run Fail Timer</t>
  </si>
  <si>
    <t>tmrRFAL</t>
  </si>
  <si>
    <t>Runtime recorder</t>
  </si>
  <si>
    <t>RFTimer</t>
  </si>
  <si>
    <t>Trip Alarm</t>
  </si>
  <si>
    <t>Run Fail Alarm</t>
  </si>
  <si>
    <t>Sequence Auto</t>
  </si>
  <si>
    <t>blnAUT</t>
  </si>
  <si>
    <t>Run Fail Buzzer</t>
  </si>
  <si>
    <t>Trip Buzzer</t>
  </si>
  <si>
    <t>HMI Acknowledge</t>
  </si>
  <si>
    <t>SysAck</t>
  </si>
  <si>
    <t>HMI</t>
  </si>
  <si>
    <t>PLC</t>
  </si>
  <si>
    <t>Delay Timer</t>
  </si>
  <si>
    <t>Time Recorder</t>
  </si>
  <si>
    <t>PlcFunctionName</t>
  </si>
  <si>
    <t>PropertyTermId</t>
  </si>
  <si>
    <t>Motor</t>
  </si>
  <si>
    <t>Valve</t>
  </si>
  <si>
    <t>EquipmentName</t>
  </si>
  <si>
    <t>EquipmentId</t>
  </si>
  <si>
    <t>table atas</t>
  </si>
  <si>
    <t>StatementId</t>
  </si>
  <si>
    <t>StatementName</t>
  </si>
  <si>
    <t>StatementContent</t>
  </si>
  <si>
    <t>Operation</t>
  </si>
  <si>
    <t xml:space="preserve">When auto run ready or manual run ready and no faults, then will command run.                  </t>
  </si>
  <si>
    <t>System Handle</t>
  </si>
  <si>
    <t xml:space="preserve">When operation mode in Auto, the Manual Start/Stop position will according with Operation Signal Run/Stop.    During PLC Initialize or MCC Trip On, the Manual Operation position will be in Stop.    During PLC Initialize, Run Fail Timer's delay time Set to 10 seconds.    Operation Signal Run time will be recorded by runtime recorder.     </t>
  </si>
  <si>
    <t>When Manual Run Fulfilled or Auto Run Fulfilled, without trip Alarm, then PLC command Run.   During motor Run, the running time will be recorded by timer recorder</t>
  </si>
  <si>
    <t>When in Auto Mode, Manual Operation position will change and retain according with Input Run Signal    During PLC Initializing or MCC Trip On, the Manual Operation position will be in Stop.    During PLC Initializing, Run Fail Alarm Timer Setpoint assigned value 10 seconds.    During PLC Initializing, Trip Alarm Timer Setpoint assigned value 3 seconds.    Trip Alarm Timer will start counting when have Trip Feedback On. If the Trip Alarm Timer elapsed, Trip Alarm will turn on. Trip Alarm will off and Trip Alarm Timer will be reset when Trip Feedback is off.    When Trip Alarm On, Trup Buzzer will turn on and retain. Trip Buzzer only can be reset by</t>
  </si>
  <si>
    <t>Run Failed</t>
  </si>
  <si>
    <t xml:space="preserve">When Operation signal Run not received after run fail timer elapsed, turn on Run Fail alarm, turn on Run Fail Buzzer once.  When HMI Acknowledge, turn off Run Fail Buzzer      </t>
  </si>
  <si>
    <t>Auto run ready</t>
  </si>
  <si>
    <t xml:space="preserve">When operation mode in Auto and Sequence Auto is fulfilled.              </t>
  </si>
  <si>
    <t>Manual run ready</t>
  </si>
  <si>
    <t xml:space="preserve">When operation mode in Manual and manual started              </t>
  </si>
  <si>
    <t>Faults</t>
  </si>
  <si>
    <t xml:space="preserve">When trip alarm is on or run fail alarm is on                </t>
  </si>
  <si>
    <t>Trip</t>
  </si>
  <si>
    <t>When Trip Signal is On, turn on Trip Alarm, turn on Trip Buzzer once.    When HMI Acknowledge, turn off Trip Buzzer.</t>
  </si>
  <si>
    <t>StatementPropertyPlcVariable</t>
  </si>
  <si>
    <t>StatementPropertyPlcValue</t>
  </si>
  <si>
    <t>1</t>
  </si>
  <si>
    <t>0</t>
  </si>
  <si>
    <t>2</t>
  </si>
  <si>
    <t>3</t>
  </si>
  <si>
    <t>4</t>
  </si>
  <si>
    <t>5</t>
  </si>
  <si>
    <t>6</t>
  </si>
  <si>
    <t>7</t>
  </si>
  <si>
    <t>8</t>
  </si>
  <si>
    <t>10</t>
  </si>
  <si>
    <t>11</t>
  </si>
  <si>
    <t>12</t>
  </si>
  <si>
    <t>13</t>
  </si>
  <si>
    <t>15</t>
  </si>
  <si>
    <t>16</t>
  </si>
  <si>
    <t>17</t>
  </si>
  <si>
    <t>18</t>
  </si>
  <si>
    <t>19</t>
  </si>
  <si>
    <t>14</t>
  </si>
  <si>
    <t>20</t>
  </si>
  <si>
    <t>21</t>
  </si>
  <si>
    <t>22</t>
  </si>
  <si>
    <t>23</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</si>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</sst>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255A-B773-435F-81EF-216F771DC4C9}">
  <dimension ref="A1:AN33"/>
  <sheetViews>
    <sheetView topLeftCell="X1" zoomScaleNormal="100" workbookViewId="0">
      <selection activeCell="AF1" sqref="AF1:AH3"/>
    </sheetView>
  </sheetViews>
  <sheetFormatPr defaultRowHeight="14.5" x14ac:dyDescent="0.35"/>
  <cols>
    <col min="6" max="6" width="13.54296875" customWidth="1"/>
    <col min="7" max="7" width="15" customWidth="1"/>
    <col min="8" max="8" width="18.7265625" customWidth="1"/>
    <col min="10" max="10" width="21" customWidth="1"/>
    <col min="11" max="12" width="27.26953125" customWidth="1"/>
    <col min="13" max="13" width="13.7265625" customWidth="1"/>
    <col min="14" max="14" width="17.7265625" customWidth="1"/>
    <col min="15" max="15" width="15.08984375" bestFit="1" customWidth="1"/>
    <col min="16" max="16" width="11.54296875" bestFit="1" customWidth="1"/>
    <col min="21" max="21" width="22.6328125" customWidth="1"/>
    <col min="22" max="22" width="22" customWidth="1"/>
    <col min="23" max="24" width="17.36328125" customWidth="1"/>
    <col min="25" max="25" width="23.36328125" customWidth="1"/>
    <col min="28" max="28" width="20.08984375" customWidth="1"/>
    <col min="29" max="29" width="15.6328125" bestFit="1" customWidth="1"/>
    <col min="31" max="31" width="14.36328125" bestFit="1" customWidth="1"/>
    <col min="33" max="33" width="15" customWidth="1"/>
    <col min="37" max="37" width="11.54296875" bestFit="1" customWidth="1"/>
    <col min="38" max="38" width="15.08984375" bestFit="1" customWidth="1"/>
    <col min="39" max="39" width="16.08984375" bestFit="1" customWidth="1"/>
    <col min="40" max="40" width="12.6328125" bestFit="1" customWidth="1"/>
  </cols>
  <sheetData>
    <row r="1" spans="1:40" x14ac:dyDescent="0.35">
      <c r="A1" t="s">
        <v>0</v>
      </c>
      <c r="F1" t="s">
        <v>54</v>
      </c>
      <c r="G1" s="2" t="s">
        <v>49</v>
      </c>
      <c r="H1" s="2" t="s">
        <v>1</v>
      </c>
      <c r="I1" s="2" t="s">
        <v>14</v>
      </c>
      <c r="J1" s="2" t="s">
        <v>13</v>
      </c>
      <c r="K1" t="s">
        <v>15</v>
      </c>
      <c r="L1" t="s">
        <v>17</v>
      </c>
      <c r="M1" t="s">
        <v>16</v>
      </c>
      <c r="N1" t="s">
        <v>48</v>
      </c>
      <c r="O1" t="s">
        <v>52</v>
      </c>
      <c r="P1" t="s">
        <v>53</v>
      </c>
      <c r="Q1" t="s">
        <v>0</v>
      </c>
      <c r="U1" s="1" t="s">
        <v>13</v>
      </c>
      <c r="V1" t="s">
        <v>15</v>
      </c>
      <c r="W1" t="s">
        <v>16</v>
      </c>
      <c r="X1" t="s">
        <v>48</v>
      </c>
      <c r="Y1" t="s">
        <v>17</v>
      </c>
      <c r="Z1" t="s">
        <v>0</v>
      </c>
      <c r="AB1" t="s">
        <v>16</v>
      </c>
      <c r="AC1" t="s">
        <v>48</v>
      </c>
      <c r="AD1" t="s">
        <v>0</v>
      </c>
      <c r="AF1" t="s">
        <v>53</v>
      </c>
      <c r="AG1" t="s">
        <v>52</v>
      </c>
      <c r="AH1" t="s">
        <v>0</v>
      </c>
      <c r="AJ1" t="s">
        <v>0</v>
      </c>
      <c r="AK1" t="s">
        <v>53</v>
      </c>
      <c r="AL1" t="s">
        <v>52</v>
      </c>
      <c r="AM1" t="s">
        <v>48</v>
      </c>
      <c r="AN1" t="s">
        <v>16</v>
      </c>
    </row>
    <row r="2" spans="1:40" x14ac:dyDescent="0.35">
      <c r="A2">
        <v>1</v>
      </c>
      <c r="G2">
        <v>1</v>
      </c>
      <c r="H2" t="s">
        <v>2</v>
      </c>
      <c r="I2">
        <v>0</v>
      </c>
      <c r="J2">
        <v>1</v>
      </c>
      <c r="K2" t="str">
        <f t="shared" ref="K2:K23" si="0">_xlfn.XLOOKUP(J2,$U$2:$U$17,$V$2:$V$17,"")</f>
        <v>Operation Mode</v>
      </c>
      <c r="L2" t="str">
        <f t="shared" ref="L2:L23" si="1">_xlfn.XLOOKUP(J2,$U$2:$U$17,$Y$2:$Y$17,"")</f>
        <v>blnMA</v>
      </c>
      <c r="M2">
        <f>_xlfn.XLOOKUP(K2,$V$2:$V$17,$W$2:$W$17,"")</f>
        <v>1</v>
      </c>
      <c r="N2" t="str">
        <f>_xlfn.XLOOKUP(M2,$W$2:$W$17,$X$2:$X$17,"")</f>
        <v>HMI</v>
      </c>
      <c r="O2" t="s">
        <v>50</v>
      </c>
      <c r="P2">
        <v>1</v>
      </c>
      <c r="Q2">
        <v>1</v>
      </c>
      <c r="U2">
        <v>1</v>
      </c>
      <c r="V2" t="s">
        <v>18</v>
      </c>
      <c r="W2">
        <v>1</v>
      </c>
      <c r="X2" t="str">
        <f>_xlfn.XLOOKUP(W2,$AB$2:$AB$5,$AC$2:$AC$5,"")</f>
        <v>HMI</v>
      </c>
      <c r="Y2" t="s">
        <v>19</v>
      </c>
      <c r="Z2">
        <v>1</v>
      </c>
      <c r="AB2">
        <v>1</v>
      </c>
      <c r="AC2" t="s">
        <v>44</v>
      </c>
      <c r="AD2">
        <v>1</v>
      </c>
      <c r="AF2">
        <v>1</v>
      </c>
      <c r="AG2" t="s">
        <v>50</v>
      </c>
      <c r="AH2">
        <v>1</v>
      </c>
      <c r="AJ2">
        <v>1</v>
      </c>
      <c r="AK2">
        <v>1</v>
      </c>
      <c r="AL2" t="s">
        <v>50</v>
      </c>
      <c r="AM2" t="s">
        <v>44</v>
      </c>
      <c r="AN2">
        <v>1</v>
      </c>
    </row>
    <row r="3" spans="1:40" x14ac:dyDescent="0.35">
      <c r="A3">
        <v>1</v>
      </c>
      <c r="G3">
        <v>2</v>
      </c>
      <c r="H3" t="s">
        <v>3</v>
      </c>
      <c r="I3">
        <v>1</v>
      </c>
      <c r="J3">
        <v>1</v>
      </c>
      <c r="K3" t="str">
        <f t="shared" si="0"/>
        <v>Operation Mode</v>
      </c>
      <c r="L3" t="str">
        <f t="shared" si="1"/>
        <v>blnMA</v>
      </c>
      <c r="M3">
        <f t="shared" ref="M3:M23" si="2">_xlfn.XLOOKUP(K3,$V$2:$V$17,$W$2:$W$17,"")</f>
        <v>1</v>
      </c>
      <c r="N3" t="str">
        <f t="shared" ref="N3:N23" si="3">_xlfn.XLOOKUP(M3,$W$2:$W$17,$X$2:$X$17,"")</f>
        <v>HMI</v>
      </c>
      <c r="O3" t="s">
        <v>50</v>
      </c>
      <c r="P3">
        <v>1</v>
      </c>
      <c r="Q3">
        <v>1</v>
      </c>
      <c r="U3">
        <v>2</v>
      </c>
      <c r="V3" t="s">
        <v>20</v>
      </c>
      <c r="W3">
        <v>1</v>
      </c>
      <c r="X3" t="str">
        <f t="shared" ref="X3:X17" si="4">_xlfn.XLOOKUP(W3,$AB$2:$AB$5,$AC$2:$AC$5,"")</f>
        <v>HMI</v>
      </c>
      <c r="Y3" t="s">
        <v>21</v>
      </c>
      <c r="Z3">
        <v>1</v>
      </c>
      <c r="AB3">
        <v>2</v>
      </c>
      <c r="AC3" t="s">
        <v>45</v>
      </c>
      <c r="AD3">
        <v>1</v>
      </c>
      <c r="AF3">
        <v>2</v>
      </c>
      <c r="AG3" t="s">
        <v>51</v>
      </c>
      <c r="AH3">
        <v>1</v>
      </c>
      <c r="AJ3">
        <v>1</v>
      </c>
      <c r="AK3">
        <v>1</v>
      </c>
      <c r="AL3" t="s">
        <v>50</v>
      </c>
      <c r="AM3" t="s">
        <v>45</v>
      </c>
      <c r="AN3">
        <v>2</v>
      </c>
    </row>
    <row r="4" spans="1:40" x14ac:dyDescent="0.35">
      <c r="A4">
        <v>1</v>
      </c>
      <c r="G4">
        <v>3</v>
      </c>
      <c r="H4" t="s">
        <v>4</v>
      </c>
      <c r="I4">
        <v>0</v>
      </c>
      <c r="J4">
        <v>2</v>
      </c>
      <c r="K4" t="str">
        <f t="shared" si="0"/>
        <v>MCC Trip</v>
      </c>
      <c r="L4" t="str">
        <f t="shared" si="1"/>
        <v>New Instance</v>
      </c>
      <c r="M4">
        <f t="shared" si="2"/>
        <v>1</v>
      </c>
      <c r="N4" t="str">
        <f t="shared" si="3"/>
        <v>HMI</v>
      </c>
      <c r="O4" t="s">
        <v>50</v>
      </c>
      <c r="P4">
        <v>1</v>
      </c>
      <c r="Q4">
        <v>1</v>
      </c>
      <c r="U4">
        <v>3</v>
      </c>
      <c r="V4" t="s">
        <v>22</v>
      </c>
      <c r="W4">
        <v>1</v>
      </c>
      <c r="X4" t="str">
        <f t="shared" si="4"/>
        <v>HMI</v>
      </c>
      <c r="Y4" t="s">
        <v>21</v>
      </c>
      <c r="Z4">
        <v>1</v>
      </c>
      <c r="AB4">
        <v>3</v>
      </c>
      <c r="AC4" t="s">
        <v>46</v>
      </c>
      <c r="AD4">
        <v>1</v>
      </c>
      <c r="AJ4">
        <v>1</v>
      </c>
      <c r="AK4">
        <v>1</v>
      </c>
      <c r="AL4" t="s">
        <v>50</v>
      </c>
      <c r="AM4" t="s">
        <v>46</v>
      </c>
      <c r="AN4">
        <v>3</v>
      </c>
    </row>
    <row r="5" spans="1:40" x14ac:dyDescent="0.35">
      <c r="A5">
        <v>1</v>
      </c>
      <c r="G5">
        <v>4</v>
      </c>
      <c r="H5" t="s">
        <v>5</v>
      </c>
      <c r="I5">
        <v>0</v>
      </c>
      <c r="J5">
        <v>2</v>
      </c>
      <c r="K5" t="str">
        <f t="shared" si="0"/>
        <v>MCC Trip</v>
      </c>
      <c r="L5" t="str">
        <f t="shared" si="1"/>
        <v>New Instance</v>
      </c>
      <c r="M5">
        <f t="shared" si="2"/>
        <v>1</v>
      </c>
      <c r="N5" t="str">
        <f t="shared" si="3"/>
        <v>HMI</v>
      </c>
      <c r="O5" t="s">
        <v>50</v>
      </c>
      <c r="P5">
        <v>1</v>
      </c>
      <c r="Q5">
        <v>1</v>
      </c>
      <c r="U5">
        <v>4</v>
      </c>
      <c r="V5" t="s">
        <v>3</v>
      </c>
      <c r="W5">
        <v>1</v>
      </c>
      <c r="X5" t="str">
        <f t="shared" si="4"/>
        <v>HMI</v>
      </c>
      <c r="Y5" t="s">
        <v>23</v>
      </c>
      <c r="Z5">
        <v>1</v>
      </c>
      <c r="AB5">
        <v>4</v>
      </c>
      <c r="AC5" t="s">
        <v>47</v>
      </c>
      <c r="AD5">
        <v>1</v>
      </c>
      <c r="AJ5">
        <v>1</v>
      </c>
      <c r="AK5">
        <v>1</v>
      </c>
      <c r="AL5" t="s">
        <v>50</v>
      </c>
      <c r="AM5" t="s">
        <v>47</v>
      </c>
      <c r="AN5">
        <v>4</v>
      </c>
    </row>
    <row r="6" spans="1:40" x14ac:dyDescent="0.35">
      <c r="A6">
        <v>1</v>
      </c>
      <c r="G6">
        <v>5</v>
      </c>
      <c r="H6" t="s">
        <v>6</v>
      </c>
      <c r="I6">
        <v>1</v>
      </c>
      <c r="J6">
        <v>4</v>
      </c>
      <c r="K6" t="str">
        <f t="shared" si="0"/>
        <v>Manual</v>
      </c>
      <c r="L6" t="str">
        <f t="shared" si="1"/>
        <v>blnMC</v>
      </c>
      <c r="M6">
        <f t="shared" si="2"/>
        <v>1</v>
      </c>
      <c r="N6" t="str">
        <f t="shared" si="3"/>
        <v>HMI</v>
      </c>
      <c r="O6" t="s">
        <v>50</v>
      </c>
      <c r="P6">
        <v>1</v>
      </c>
      <c r="Q6">
        <v>1</v>
      </c>
      <c r="U6">
        <v>5</v>
      </c>
      <c r="V6" t="s">
        <v>24</v>
      </c>
      <c r="W6">
        <v>2</v>
      </c>
      <c r="X6" t="str">
        <f t="shared" si="4"/>
        <v>PLC</v>
      </c>
      <c r="Y6" t="s">
        <v>25</v>
      </c>
      <c r="Z6">
        <v>1</v>
      </c>
      <c r="AJ6">
        <v>1</v>
      </c>
      <c r="AK6">
        <v>2</v>
      </c>
      <c r="AL6" t="s">
        <v>51</v>
      </c>
      <c r="AM6" t="s">
        <v>44</v>
      </c>
      <c r="AN6">
        <v>1</v>
      </c>
    </row>
    <row r="7" spans="1:40" x14ac:dyDescent="0.35">
      <c r="A7">
        <v>1</v>
      </c>
      <c r="G7">
        <v>6</v>
      </c>
      <c r="H7" t="s">
        <v>7</v>
      </c>
      <c r="I7">
        <v>0</v>
      </c>
      <c r="J7">
        <v>4</v>
      </c>
      <c r="K7" t="str">
        <f t="shared" si="0"/>
        <v>Manual</v>
      </c>
      <c r="L7" t="str">
        <f t="shared" si="1"/>
        <v>blnMC</v>
      </c>
      <c r="M7">
        <f t="shared" si="2"/>
        <v>1</v>
      </c>
      <c r="N7" t="str">
        <f t="shared" si="3"/>
        <v>HMI</v>
      </c>
      <c r="O7" t="s">
        <v>50</v>
      </c>
      <c r="P7">
        <v>1</v>
      </c>
      <c r="Q7">
        <v>1</v>
      </c>
      <c r="U7">
        <v>6</v>
      </c>
      <c r="V7" t="s">
        <v>26</v>
      </c>
      <c r="W7">
        <v>2</v>
      </c>
      <c r="X7" t="str">
        <f t="shared" si="4"/>
        <v>PLC</v>
      </c>
      <c r="Y7" t="s">
        <v>27</v>
      </c>
      <c r="Z7">
        <v>1</v>
      </c>
      <c r="AJ7">
        <v>1</v>
      </c>
      <c r="AK7">
        <v>2</v>
      </c>
      <c r="AL7" t="s">
        <v>51</v>
      </c>
      <c r="AM7" t="s">
        <v>45</v>
      </c>
      <c r="AN7">
        <v>2</v>
      </c>
    </row>
    <row r="8" spans="1:40" x14ac:dyDescent="0.35">
      <c r="A8">
        <v>1</v>
      </c>
      <c r="G8">
        <v>7</v>
      </c>
      <c r="H8" t="s">
        <v>8</v>
      </c>
      <c r="I8">
        <v>1</v>
      </c>
      <c r="J8">
        <v>5</v>
      </c>
      <c r="K8" t="str">
        <f t="shared" si="0"/>
        <v>Trip Signal</v>
      </c>
      <c r="L8" t="str">
        <f t="shared" si="1"/>
        <v>blnTRP</v>
      </c>
      <c r="M8">
        <f t="shared" si="2"/>
        <v>2</v>
      </c>
      <c r="N8" t="str">
        <f t="shared" si="3"/>
        <v>PLC</v>
      </c>
      <c r="O8" t="s">
        <v>50</v>
      </c>
      <c r="P8">
        <v>1</v>
      </c>
      <c r="Q8">
        <v>1</v>
      </c>
      <c r="U8">
        <v>7</v>
      </c>
      <c r="V8" t="s">
        <v>28</v>
      </c>
      <c r="W8">
        <v>2</v>
      </c>
      <c r="X8" t="str">
        <f t="shared" si="4"/>
        <v>PLC</v>
      </c>
      <c r="Y8" t="s">
        <v>29</v>
      </c>
      <c r="Z8">
        <v>1</v>
      </c>
      <c r="AJ8">
        <v>1</v>
      </c>
      <c r="AK8">
        <v>2</v>
      </c>
      <c r="AL8" t="s">
        <v>51</v>
      </c>
      <c r="AM8" t="s">
        <v>46</v>
      </c>
      <c r="AN8">
        <v>3</v>
      </c>
    </row>
    <row r="9" spans="1:40" x14ac:dyDescent="0.35">
      <c r="A9">
        <v>1</v>
      </c>
      <c r="G9">
        <v>8</v>
      </c>
      <c r="H9" t="s">
        <v>9</v>
      </c>
      <c r="I9">
        <v>0</v>
      </c>
      <c r="J9">
        <v>5</v>
      </c>
      <c r="K9" t="str">
        <f t="shared" si="0"/>
        <v>Trip Signal</v>
      </c>
      <c r="L9" t="str">
        <f t="shared" si="1"/>
        <v>blnTRP</v>
      </c>
      <c r="M9">
        <f t="shared" si="2"/>
        <v>2</v>
      </c>
      <c r="N9" t="str">
        <f t="shared" si="3"/>
        <v>PLC</v>
      </c>
      <c r="O9" t="s">
        <v>50</v>
      </c>
      <c r="P9">
        <v>1</v>
      </c>
      <c r="Q9">
        <v>1</v>
      </c>
      <c r="U9">
        <v>9</v>
      </c>
      <c r="V9" t="s">
        <v>30</v>
      </c>
      <c r="W9">
        <v>2</v>
      </c>
      <c r="X9" t="str">
        <f t="shared" si="4"/>
        <v>PLC</v>
      </c>
      <c r="Y9" t="s">
        <v>31</v>
      </c>
      <c r="Z9">
        <v>1</v>
      </c>
      <c r="AJ9">
        <v>1</v>
      </c>
      <c r="AK9">
        <v>2</v>
      </c>
      <c r="AL9" t="s">
        <v>51</v>
      </c>
      <c r="AM9" t="s">
        <v>47</v>
      </c>
      <c r="AN9">
        <v>4</v>
      </c>
    </row>
    <row r="10" spans="1:40" x14ac:dyDescent="0.35">
      <c r="A10">
        <v>1</v>
      </c>
      <c r="G10">
        <v>10</v>
      </c>
      <c r="H10" t="s">
        <v>10</v>
      </c>
      <c r="I10">
        <v>1</v>
      </c>
      <c r="J10">
        <v>6</v>
      </c>
      <c r="K10" t="str">
        <f t="shared" si="0"/>
        <v>Operation Signal</v>
      </c>
      <c r="L10" t="str">
        <f t="shared" si="1"/>
        <v>blnRUN</v>
      </c>
      <c r="M10">
        <f t="shared" si="2"/>
        <v>2</v>
      </c>
      <c r="N10" t="str">
        <f t="shared" si="3"/>
        <v>PLC</v>
      </c>
      <c r="O10" t="s">
        <v>50</v>
      </c>
      <c r="P10">
        <v>1</v>
      </c>
      <c r="Q10">
        <v>1</v>
      </c>
      <c r="U10">
        <v>10</v>
      </c>
      <c r="V10" t="s">
        <v>32</v>
      </c>
      <c r="W10">
        <v>3</v>
      </c>
      <c r="X10" t="str">
        <f t="shared" si="4"/>
        <v>Delay Timer</v>
      </c>
      <c r="Y10" t="s">
        <v>33</v>
      </c>
      <c r="Z10">
        <v>1</v>
      </c>
    </row>
    <row r="11" spans="1:40" x14ac:dyDescent="0.35">
      <c r="A11">
        <v>1</v>
      </c>
      <c r="G11">
        <v>11</v>
      </c>
      <c r="H11" t="s">
        <v>7</v>
      </c>
      <c r="I11">
        <v>0</v>
      </c>
      <c r="J11">
        <v>6</v>
      </c>
      <c r="K11" t="str">
        <f t="shared" si="0"/>
        <v>Operation Signal</v>
      </c>
      <c r="L11" t="str">
        <f t="shared" si="1"/>
        <v>blnRUN</v>
      </c>
      <c r="M11">
        <f t="shared" si="2"/>
        <v>2</v>
      </c>
      <c r="N11" t="str">
        <f t="shared" si="3"/>
        <v>PLC</v>
      </c>
      <c r="O11" t="s">
        <v>50</v>
      </c>
      <c r="P11">
        <v>1</v>
      </c>
      <c r="Q11">
        <v>1</v>
      </c>
      <c r="U11">
        <v>11</v>
      </c>
      <c r="V11" t="s">
        <v>34</v>
      </c>
      <c r="W11">
        <v>4</v>
      </c>
      <c r="X11" t="str">
        <f t="shared" si="4"/>
        <v>Time Recorder</v>
      </c>
      <c r="Y11" t="s">
        <v>35</v>
      </c>
      <c r="Z11">
        <v>1</v>
      </c>
    </row>
    <row r="12" spans="1:40" x14ac:dyDescent="0.35">
      <c r="A12">
        <v>1</v>
      </c>
      <c r="G12">
        <v>12</v>
      </c>
      <c r="H12" t="s">
        <v>10</v>
      </c>
      <c r="I12">
        <v>1</v>
      </c>
      <c r="J12">
        <v>7</v>
      </c>
      <c r="K12" t="str">
        <f t="shared" si="0"/>
        <v>Command</v>
      </c>
      <c r="L12" t="str">
        <f t="shared" si="1"/>
        <v>blnOut</v>
      </c>
      <c r="M12">
        <f t="shared" si="2"/>
        <v>2</v>
      </c>
      <c r="N12" t="str">
        <f t="shared" si="3"/>
        <v>PLC</v>
      </c>
      <c r="O12" t="s">
        <v>50</v>
      </c>
      <c r="P12">
        <v>1</v>
      </c>
      <c r="Q12">
        <v>1</v>
      </c>
      <c r="U12">
        <v>12</v>
      </c>
      <c r="V12" t="s">
        <v>36</v>
      </c>
      <c r="W12">
        <v>1</v>
      </c>
      <c r="X12" t="str">
        <f t="shared" si="4"/>
        <v>HMI</v>
      </c>
      <c r="Y12" t="s">
        <v>21</v>
      </c>
      <c r="Z12">
        <v>1</v>
      </c>
    </row>
    <row r="13" spans="1:40" x14ac:dyDescent="0.35">
      <c r="A13">
        <v>1</v>
      </c>
      <c r="G13">
        <v>13</v>
      </c>
      <c r="H13" t="s">
        <v>7</v>
      </c>
      <c r="I13">
        <v>0</v>
      </c>
      <c r="J13">
        <v>7</v>
      </c>
      <c r="K13" t="str">
        <f t="shared" si="0"/>
        <v>Command</v>
      </c>
      <c r="L13" t="str">
        <f t="shared" si="1"/>
        <v>blnOut</v>
      </c>
      <c r="M13">
        <f t="shared" si="2"/>
        <v>2</v>
      </c>
      <c r="N13" t="str">
        <f t="shared" si="3"/>
        <v>PLC</v>
      </c>
      <c r="O13" t="s">
        <v>50</v>
      </c>
      <c r="P13">
        <v>1</v>
      </c>
      <c r="Q13">
        <v>1</v>
      </c>
      <c r="U13">
        <v>13</v>
      </c>
      <c r="V13" t="s">
        <v>37</v>
      </c>
      <c r="W13">
        <v>1</v>
      </c>
      <c r="X13" t="str">
        <f t="shared" si="4"/>
        <v>HMI</v>
      </c>
      <c r="Y13" t="s">
        <v>21</v>
      </c>
      <c r="Z13">
        <v>1</v>
      </c>
    </row>
    <row r="14" spans="1:40" x14ac:dyDescent="0.35">
      <c r="A14">
        <v>1</v>
      </c>
      <c r="G14">
        <v>15</v>
      </c>
      <c r="H14" t="s">
        <v>8</v>
      </c>
      <c r="I14">
        <v>1</v>
      </c>
      <c r="J14">
        <v>12</v>
      </c>
      <c r="K14" t="str">
        <f t="shared" si="0"/>
        <v>Trip Alarm</v>
      </c>
      <c r="L14" t="str">
        <f t="shared" si="1"/>
        <v>New Instance</v>
      </c>
      <c r="M14">
        <f t="shared" si="2"/>
        <v>1</v>
      </c>
      <c r="N14" t="str">
        <f t="shared" si="3"/>
        <v>HMI</v>
      </c>
      <c r="O14" t="s">
        <v>50</v>
      </c>
      <c r="P14">
        <v>1</v>
      </c>
      <c r="Q14">
        <v>1</v>
      </c>
      <c r="U14">
        <v>14</v>
      </c>
      <c r="V14" t="s">
        <v>38</v>
      </c>
      <c r="W14">
        <v>1</v>
      </c>
      <c r="X14" t="str">
        <f t="shared" si="4"/>
        <v>HMI</v>
      </c>
      <c r="Y14" t="s">
        <v>39</v>
      </c>
      <c r="Z14">
        <v>1</v>
      </c>
    </row>
    <row r="15" spans="1:40" x14ac:dyDescent="0.35">
      <c r="A15">
        <v>1</v>
      </c>
      <c r="G15">
        <v>16</v>
      </c>
      <c r="H15" t="s">
        <v>9</v>
      </c>
      <c r="I15">
        <v>0</v>
      </c>
      <c r="J15">
        <v>12</v>
      </c>
      <c r="K15" t="str">
        <f t="shared" si="0"/>
        <v>Trip Alarm</v>
      </c>
      <c r="L15" t="str">
        <f t="shared" si="1"/>
        <v>New Instance</v>
      </c>
      <c r="M15">
        <f t="shared" si="2"/>
        <v>1</v>
      </c>
      <c r="N15" t="str">
        <f t="shared" si="3"/>
        <v>HMI</v>
      </c>
      <c r="O15" t="s">
        <v>50</v>
      </c>
      <c r="P15">
        <v>1</v>
      </c>
      <c r="Q15">
        <v>1</v>
      </c>
      <c r="U15">
        <v>15</v>
      </c>
      <c r="V15" t="s">
        <v>40</v>
      </c>
      <c r="W15">
        <v>1</v>
      </c>
      <c r="X15" t="str">
        <f t="shared" si="4"/>
        <v>HMI</v>
      </c>
      <c r="Y15" t="s">
        <v>21</v>
      </c>
      <c r="Z15">
        <v>1</v>
      </c>
    </row>
    <row r="16" spans="1:40" x14ac:dyDescent="0.35">
      <c r="A16">
        <v>1</v>
      </c>
      <c r="G16">
        <v>17</v>
      </c>
      <c r="H16" t="s">
        <v>8</v>
      </c>
      <c r="I16">
        <v>1</v>
      </c>
      <c r="J16">
        <v>13</v>
      </c>
      <c r="K16" t="str">
        <f t="shared" si="0"/>
        <v>Run Fail Alarm</v>
      </c>
      <c r="L16" t="str">
        <f t="shared" si="1"/>
        <v>New Instance</v>
      </c>
      <c r="M16">
        <f t="shared" si="2"/>
        <v>1</v>
      </c>
      <c r="N16" t="str">
        <f t="shared" si="3"/>
        <v>HMI</v>
      </c>
      <c r="O16" t="s">
        <v>50</v>
      </c>
      <c r="P16">
        <v>1</v>
      </c>
      <c r="Q16">
        <v>1</v>
      </c>
      <c r="U16">
        <v>16</v>
      </c>
      <c r="V16" t="s">
        <v>41</v>
      </c>
      <c r="W16">
        <v>1</v>
      </c>
      <c r="X16" t="str">
        <f t="shared" si="4"/>
        <v>HMI</v>
      </c>
      <c r="Y16" t="s">
        <v>21</v>
      </c>
      <c r="Z16">
        <v>1</v>
      </c>
    </row>
    <row r="17" spans="1:26" x14ac:dyDescent="0.35">
      <c r="A17">
        <v>1</v>
      </c>
      <c r="G17">
        <v>18</v>
      </c>
      <c r="H17" t="s">
        <v>9</v>
      </c>
      <c r="I17">
        <v>0</v>
      </c>
      <c r="J17">
        <v>13</v>
      </c>
      <c r="K17" t="str">
        <f t="shared" si="0"/>
        <v>Run Fail Alarm</v>
      </c>
      <c r="L17" t="str">
        <f t="shared" si="1"/>
        <v>New Instance</v>
      </c>
      <c r="M17">
        <f t="shared" si="2"/>
        <v>1</v>
      </c>
      <c r="N17" t="str">
        <f t="shared" si="3"/>
        <v>HMI</v>
      </c>
      <c r="O17" t="s">
        <v>50</v>
      </c>
      <c r="P17">
        <v>1</v>
      </c>
      <c r="Q17">
        <v>1</v>
      </c>
      <c r="U17">
        <v>17</v>
      </c>
      <c r="V17" t="s">
        <v>42</v>
      </c>
      <c r="W17">
        <v>1</v>
      </c>
      <c r="X17" t="str">
        <f t="shared" si="4"/>
        <v>HMI</v>
      </c>
      <c r="Y17" t="s">
        <v>43</v>
      </c>
      <c r="Z17">
        <v>1</v>
      </c>
    </row>
    <row r="18" spans="1:26" x14ac:dyDescent="0.35">
      <c r="A18">
        <v>1</v>
      </c>
      <c r="G18">
        <v>19</v>
      </c>
      <c r="H18" t="s">
        <v>11</v>
      </c>
      <c r="I18">
        <v>1</v>
      </c>
      <c r="J18">
        <v>14</v>
      </c>
      <c r="K18" t="str">
        <f t="shared" si="0"/>
        <v>Sequence Auto</v>
      </c>
      <c r="L18" t="str">
        <f t="shared" si="1"/>
        <v>blnAUT</v>
      </c>
      <c r="M18">
        <f t="shared" si="2"/>
        <v>1</v>
      </c>
      <c r="N18" t="str">
        <f t="shared" si="3"/>
        <v>HMI</v>
      </c>
      <c r="O18" t="s">
        <v>50</v>
      </c>
      <c r="P18">
        <v>1</v>
      </c>
      <c r="Q18">
        <v>1</v>
      </c>
    </row>
    <row r="19" spans="1:26" x14ac:dyDescent="0.35">
      <c r="A19">
        <v>1</v>
      </c>
      <c r="G19">
        <v>20</v>
      </c>
      <c r="H19" t="s">
        <v>12</v>
      </c>
      <c r="I19">
        <v>0</v>
      </c>
      <c r="J19">
        <v>14</v>
      </c>
      <c r="K19" t="str">
        <f t="shared" si="0"/>
        <v>Sequence Auto</v>
      </c>
      <c r="L19" t="str">
        <f t="shared" si="1"/>
        <v>blnAUT</v>
      </c>
      <c r="M19">
        <f t="shared" si="2"/>
        <v>1</v>
      </c>
      <c r="N19" t="str">
        <f t="shared" si="3"/>
        <v>HMI</v>
      </c>
      <c r="O19" t="s">
        <v>50</v>
      </c>
      <c r="P19">
        <v>1</v>
      </c>
      <c r="Q19">
        <v>1</v>
      </c>
    </row>
    <row r="20" spans="1:26" x14ac:dyDescent="0.35">
      <c r="A20">
        <v>1</v>
      </c>
      <c r="G20">
        <v>21</v>
      </c>
      <c r="H20" t="s">
        <v>8</v>
      </c>
      <c r="I20">
        <v>1</v>
      </c>
      <c r="J20">
        <v>15</v>
      </c>
      <c r="K20" t="str">
        <f t="shared" si="0"/>
        <v>Run Fail Buzzer</v>
      </c>
      <c r="L20" t="str">
        <f t="shared" si="1"/>
        <v>New Instance</v>
      </c>
      <c r="M20">
        <f t="shared" si="2"/>
        <v>1</v>
      </c>
      <c r="N20" t="str">
        <f t="shared" si="3"/>
        <v>HMI</v>
      </c>
      <c r="O20" t="s">
        <v>50</v>
      </c>
      <c r="P20">
        <v>1</v>
      </c>
      <c r="Q20">
        <v>1</v>
      </c>
    </row>
    <row r="21" spans="1:26" x14ac:dyDescent="0.35">
      <c r="A21">
        <v>1</v>
      </c>
      <c r="G21">
        <v>22</v>
      </c>
      <c r="H21" t="s">
        <v>9</v>
      </c>
      <c r="I21">
        <v>0</v>
      </c>
      <c r="J21">
        <v>15</v>
      </c>
      <c r="K21" t="str">
        <f t="shared" si="0"/>
        <v>Run Fail Buzzer</v>
      </c>
      <c r="L21" t="str">
        <f t="shared" si="1"/>
        <v>New Instance</v>
      </c>
      <c r="M21">
        <f t="shared" si="2"/>
        <v>1</v>
      </c>
      <c r="N21" t="str">
        <f t="shared" si="3"/>
        <v>HMI</v>
      </c>
      <c r="O21" t="s">
        <v>50</v>
      </c>
      <c r="P21">
        <v>1</v>
      </c>
      <c r="Q21">
        <v>1</v>
      </c>
    </row>
    <row r="22" spans="1:26" x14ac:dyDescent="0.35">
      <c r="A22">
        <v>1</v>
      </c>
      <c r="G22">
        <v>23</v>
      </c>
      <c r="H22" t="s">
        <v>8</v>
      </c>
      <c r="I22">
        <v>1</v>
      </c>
      <c r="J22">
        <v>16</v>
      </c>
      <c r="K22" t="str">
        <f t="shared" si="0"/>
        <v>Trip Buzzer</v>
      </c>
      <c r="L22" t="str">
        <f t="shared" si="1"/>
        <v>New Instance</v>
      </c>
      <c r="M22">
        <f t="shared" si="2"/>
        <v>1</v>
      </c>
      <c r="N22" t="str">
        <f t="shared" si="3"/>
        <v>HMI</v>
      </c>
      <c r="O22" t="s">
        <v>50</v>
      </c>
      <c r="P22">
        <v>1</v>
      </c>
      <c r="Q22">
        <v>1</v>
      </c>
    </row>
    <row r="23" spans="1:26" x14ac:dyDescent="0.35">
      <c r="A23">
        <v>1</v>
      </c>
      <c r="G23">
        <v>24</v>
      </c>
      <c r="H23" t="s">
        <v>9</v>
      </c>
      <c r="I23">
        <v>0</v>
      </c>
      <c r="J23">
        <v>16</v>
      </c>
      <c r="K23" t="str">
        <f t="shared" si="0"/>
        <v>Trip Buzzer</v>
      </c>
      <c r="L23" t="str">
        <f t="shared" si="1"/>
        <v>New Instance</v>
      </c>
      <c r="M23">
        <f t="shared" si="2"/>
        <v>1</v>
      </c>
      <c r="N23" t="str">
        <f t="shared" si="3"/>
        <v>HMI</v>
      </c>
      <c r="O23" t="s">
        <v>50</v>
      </c>
      <c r="P23">
        <v>1</v>
      </c>
      <c r="Q23">
        <v>1</v>
      </c>
    </row>
    <row r="24" spans="1:26" x14ac:dyDescent="0.35">
      <c r="A24">
        <v>1</v>
      </c>
    </row>
    <row r="25" spans="1:26" x14ac:dyDescent="0.35">
      <c r="A25">
        <v>1</v>
      </c>
    </row>
    <row r="26" spans="1:26" x14ac:dyDescent="0.35">
      <c r="A26">
        <v>1</v>
      </c>
    </row>
    <row r="27" spans="1:26" x14ac:dyDescent="0.35">
      <c r="A27">
        <v>1</v>
      </c>
    </row>
    <row r="28" spans="1:26" x14ac:dyDescent="0.35">
      <c r="A28">
        <v>1</v>
      </c>
    </row>
    <row r="29" spans="1:26" x14ac:dyDescent="0.35">
      <c r="A29">
        <v>1</v>
      </c>
    </row>
    <row r="30" spans="1:26" x14ac:dyDescent="0.35">
      <c r="A30">
        <v>1</v>
      </c>
    </row>
    <row r="31" spans="1:26" x14ac:dyDescent="0.35">
      <c r="A31">
        <v>1</v>
      </c>
    </row>
    <row r="32" spans="1:26" x14ac:dyDescent="0.35">
      <c r="A32">
        <v>1</v>
      </c>
    </row>
    <row r="33" spans="1:1" x14ac:dyDescent="0.35">
      <c r="A3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C4C8-E0BC-4FA4-9798-852162090A32}">
  <dimension ref="A1:AS33"/>
  <sheetViews>
    <sheetView topLeftCell="AE1" zoomScaleNormal="100" workbookViewId="0">
      <selection activeCell="AP1" sqref="AP1:AS10"/>
    </sheetView>
  </sheetViews>
  <sheetFormatPr defaultRowHeight="14.5" x14ac:dyDescent="0.35"/>
  <cols>
    <col min="6" max="6" width="13.54296875" customWidth="1"/>
    <col min="7" max="7" width="15" customWidth="1"/>
    <col min="8" max="8" width="18.7265625" customWidth="1"/>
    <col min="10" max="10" width="21" customWidth="1"/>
    <col min="11" max="12" width="27.26953125" customWidth="1"/>
    <col min="13" max="13" width="13.7265625" customWidth="1"/>
    <col min="14" max="14" width="17.7265625" customWidth="1"/>
    <col min="15" max="15" width="15.08984375" bestFit="1" customWidth="1"/>
    <col min="16" max="16" width="11.54296875" bestFit="1" customWidth="1"/>
    <col min="21" max="21" width="22.6328125" customWidth="1"/>
    <col min="22" max="22" width="22" customWidth="1"/>
    <col min="23" max="24" width="17.36328125" customWidth="1"/>
    <col min="25" max="25" width="23.36328125" customWidth="1"/>
    <col min="28" max="28" width="20.08984375" customWidth="1"/>
    <col min="29" max="29" width="15.6328125" bestFit="1" customWidth="1"/>
    <col min="31" max="31" width="14.36328125" bestFit="1" customWidth="1"/>
    <col min="33" max="33" width="15" customWidth="1"/>
    <col min="37" max="37" width="11.54296875" bestFit="1" customWidth="1"/>
    <col min="38" max="38" width="15.08984375" bestFit="1" customWidth="1"/>
    <col min="39" max="39" width="16.08984375" bestFit="1" customWidth="1"/>
    <col min="40" max="40" width="12.6328125" bestFit="1" customWidth="1"/>
    <col min="42" max="42" width="14.6328125" customWidth="1"/>
    <col min="43" max="43" width="15.81640625" bestFit="1" customWidth="1"/>
    <col min="44" max="44" width="42.1796875" customWidth="1"/>
    <col min="45" max="45" width="16.26953125" customWidth="1"/>
  </cols>
  <sheetData>
    <row r="1" spans="1:45" x14ac:dyDescent="0.35">
      <c r="A1" t="s">
        <v>0</v>
      </c>
      <c r="F1" t="s">
        <v>54</v>
      </c>
      <c r="G1" s="2" t="s">
        <v>49</v>
      </c>
      <c r="H1" s="2" t="s">
        <v>1</v>
      </c>
      <c r="I1" s="2" t="s">
        <v>14</v>
      </c>
      <c r="J1" s="2" t="s">
        <v>13</v>
      </c>
      <c r="K1" s="2" t="s">
        <v>15</v>
      </c>
      <c r="L1" s="2" t="s">
        <v>17</v>
      </c>
      <c r="M1" s="2" t="s">
        <v>16</v>
      </c>
      <c r="N1" s="2" t="s">
        <v>48</v>
      </c>
      <c r="O1" s="2" t="s">
        <v>52</v>
      </c>
      <c r="P1" s="2" t="s">
        <v>53</v>
      </c>
      <c r="Q1" s="2" t="s">
        <v>0</v>
      </c>
      <c r="U1" s="1" t="s">
        <v>13</v>
      </c>
      <c r="V1" t="s">
        <v>15</v>
      </c>
      <c r="W1" t="s">
        <v>16</v>
      </c>
      <c r="X1" t="s">
        <v>48</v>
      </c>
      <c r="Y1" t="s">
        <v>17</v>
      </c>
      <c r="Z1" t="s">
        <v>0</v>
      </c>
      <c r="AB1" t="s">
        <v>16</v>
      </c>
      <c r="AC1" t="s">
        <v>48</v>
      </c>
      <c r="AD1" t="s">
        <v>0</v>
      </c>
      <c r="AF1" t="s">
        <v>53</v>
      </c>
      <c r="AG1" t="s">
        <v>52</v>
      </c>
      <c r="AH1" t="s">
        <v>0</v>
      </c>
      <c r="AJ1" t="s">
        <v>0</v>
      </c>
      <c r="AK1" t="s">
        <v>53</v>
      </c>
      <c r="AL1" t="s">
        <v>52</v>
      </c>
      <c r="AM1" t="s">
        <v>48</v>
      </c>
      <c r="AN1" t="s">
        <v>16</v>
      </c>
      <c r="AP1" t="s">
        <v>55</v>
      </c>
      <c r="AQ1" t="s">
        <v>56</v>
      </c>
      <c r="AR1" t="s">
        <v>57</v>
      </c>
      <c r="AS1" t="s">
        <v>53</v>
      </c>
    </row>
    <row r="2" spans="1:45" x14ac:dyDescent="0.35">
      <c r="A2">
        <v>1</v>
      </c>
      <c r="G2">
        <v>1</v>
      </c>
      <c r="H2" t="s">
        <v>2</v>
      </c>
      <c r="I2">
        <v>0</v>
      </c>
      <c r="J2">
        <v>1</v>
      </c>
      <c r="K2" t="str">
        <f t="shared" ref="K2:K23" si="0">_xlfn.XLOOKUP(J2,$U$2:$U$17,$V$2:$V$17,"")</f>
        <v>Operation Mode</v>
      </c>
      <c r="L2" t="str">
        <f t="shared" ref="L2:L23" si="1">_xlfn.XLOOKUP(J2,$U$2:$U$17,$Y$2:$Y$17,"")</f>
        <v>blnMA</v>
      </c>
      <c r="M2">
        <f>_xlfn.XLOOKUP(K2,$V$2:$V$17,$W$2:$W$17,"")</f>
        <v>1</v>
      </c>
      <c r="N2" t="str">
        <f>_xlfn.XLOOKUP(M2,$W$2:$W$17,$X$2:$X$17,"")</f>
        <v>HMI</v>
      </c>
      <c r="O2" t="s">
        <v>50</v>
      </c>
      <c r="P2">
        <v>1</v>
      </c>
      <c r="Q2">
        <v>1</v>
      </c>
      <c r="U2">
        <v>1</v>
      </c>
      <c r="V2" t="s">
        <v>18</v>
      </c>
      <c r="W2">
        <v>1</v>
      </c>
      <c r="X2" t="str">
        <f>_xlfn.XLOOKUP(W2,$AB$2:$AB$5,$AC$2:$AC$5,"")</f>
        <v>HMI</v>
      </c>
      <c r="Y2" t="s">
        <v>19</v>
      </c>
      <c r="Z2">
        <v>1</v>
      </c>
      <c r="AB2">
        <v>1</v>
      </c>
      <c r="AC2" t="s">
        <v>44</v>
      </c>
      <c r="AD2">
        <v>1</v>
      </c>
      <c r="AF2">
        <v>1</v>
      </c>
      <c r="AG2" t="s">
        <v>50</v>
      </c>
      <c r="AH2">
        <v>1</v>
      </c>
      <c r="AJ2">
        <v>1</v>
      </c>
      <c r="AK2">
        <v>1</v>
      </c>
      <c r="AL2" t="s">
        <v>50</v>
      </c>
      <c r="AM2" t="s">
        <v>44</v>
      </c>
      <c r="AN2">
        <v>1</v>
      </c>
      <c r="AP2">
        <v>1</v>
      </c>
      <c r="AQ2" t="s">
        <v>58</v>
      </c>
      <c r="AR2" t="s">
        <v>59</v>
      </c>
      <c r="AS2">
        <v>1</v>
      </c>
    </row>
    <row r="3" spans="1:45" x14ac:dyDescent="0.35">
      <c r="A3">
        <v>1</v>
      </c>
      <c r="G3">
        <v>2</v>
      </c>
      <c r="H3" t="s">
        <v>3</v>
      </c>
      <c r="I3">
        <v>1</v>
      </c>
      <c r="J3">
        <v>1</v>
      </c>
      <c r="K3" t="str">
        <f t="shared" si="0"/>
        <v>Operation Mode</v>
      </c>
      <c r="L3" t="str">
        <f t="shared" si="1"/>
        <v>blnMA</v>
      </c>
      <c r="M3">
        <f t="shared" ref="M3:M23" si="2">_xlfn.XLOOKUP(K3,$V$2:$V$17,$W$2:$W$17,"")</f>
        <v>1</v>
      </c>
      <c r="N3" t="str">
        <f t="shared" ref="N3:N23" si="3">_xlfn.XLOOKUP(M3,$W$2:$W$17,$X$2:$X$17,"")</f>
        <v>HMI</v>
      </c>
      <c r="O3" t="s">
        <v>50</v>
      </c>
      <c r="P3">
        <v>1</v>
      </c>
      <c r="Q3">
        <v>1</v>
      </c>
      <c r="U3">
        <v>2</v>
      </c>
      <c r="V3" t="s">
        <v>20</v>
      </c>
      <c r="W3">
        <v>1</v>
      </c>
      <c r="X3" t="str">
        <f t="shared" ref="X3:X17" si="4">_xlfn.XLOOKUP(W3,$AB$2:$AB$5,$AC$2:$AC$5,"")</f>
        <v>HMI</v>
      </c>
      <c r="Y3" t="s">
        <v>21</v>
      </c>
      <c r="Z3">
        <v>1</v>
      </c>
      <c r="AB3">
        <v>2</v>
      </c>
      <c r="AC3" t="s">
        <v>45</v>
      </c>
      <c r="AD3">
        <v>1</v>
      </c>
      <c r="AF3">
        <v>2</v>
      </c>
      <c r="AG3" t="s">
        <v>51</v>
      </c>
      <c r="AH3">
        <v>1</v>
      </c>
      <c r="AJ3">
        <v>1</v>
      </c>
      <c r="AK3">
        <v>1</v>
      </c>
      <c r="AL3" t="s">
        <v>50</v>
      </c>
      <c r="AM3" t="s">
        <v>45</v>
      </c>
      <c r="AN3">
        <v>2</v>
      </c>
      <c r="AP3">
        <v>2</v>
      </c>
      <c r="AQ3" t="s">
        <v>60</v>
      </c>
      <c r="AR3" t="s">
        <v>61</v>
      </c>
      <c r="AS3">
        <v>1</v>
      </c>
    </row>
    <row r="4" spans="1:45" x14ac:dyDescent="0.35">
      <c r="A4">
        <v>1</v>
      </c>
      <c r="G4">
        <v>3</v>
      </c>
      <c r="H4" t="s">
        <v>4</v>
      </c>
      <c r="I4">
        <v>0</v>
      </c>
      <c r="J4">
        <v>2</v>
      </c>
      <c r="K4" t="str">
        <f t="shared" si="0"/>
        <v>MCC Trip</v>
      </c>
      <c r="L4" t="str">
        <f t="shared" si="1"/>
        <v>New Instance</v>
      </c>
      <c r="M4">
        <f t="shared" si="2"/>
        <v>1</v>
      </c>
      <c r="N4" t="str">
        <f t="shared" si="3"/>
        <v>HMI</v>
      </c>
      <c r="O4" t="s">
        <v>50</v>
      </c>
      <c r="P4">
        <v>1</v>
      </c>
      <c r="Q4">
        <v>1</v>
      </c>
      <c r="U4">
        <v>3</v>
      </c>
      <c r="V4" t="s">
        <v>22</v>
      </c>
      <c r="W4">
        <v>1</v>
      </c>
      <c r="X4" t="str">
        <f t="shared" si="4"/>
        <v>HMI</v>
      </c>
      <c r="Y4" t="s">
        <v>21</v>
      </c>
      <c r="Z4">
        <v>1</v>
      </c>
      <c r="AB4">
        <v>3</v>
      </c>
      <c r="AC4" t="s">
        <v>46</v>
      </c>
      <c r="AD4">
        <v>1</v>
      </c>
      <c r="AJ4">
        <v>1</v>
      </c>
      <c r="AK4">
        <v>1</v>
      </c>
      <c r="AL4" t="s">
        <v>50</v>
      </c>
      <c r="AM4" t="s">
        <v>46</v>
      </c>
      <c r="AN4">
        <v>3</v>
      </c>
      <c r="AP4">
        <v>3</v>
      </c>
      <c r="AQ4" t="s">
        <v>58</v>
      </c>
      <c r="AR4" t="s">
        <v>62</v>
      </c>
      <c r="AS4">
        <v>2</v>
      </c>
    </row>
    <row r="5" spans="1:45" x14ac:dyDescent="0.35">
      <c r="A5">
        <v>1</v>
      </c>
      <c r="G5">
        <v>4</v>
      </c>
      <c r="H5" t="s">
        <v>5</v>
      </c>
      <c r="I5">
        <v>0</v>
      </c>
      <c r="J5">
        <v>2</v>
      </c>
      <c r="K5" t="str">
        <f t="shared" si="0"/>
        <v>MCC Trip</v>
      </c>
      <c r="L5" t="str">
        <f t="shared" si="1"/>
        <v>New Instance</v>
      </c>
      <c r="M5">
        <f t="shared" si="2"/>
        <v>1</v>
      </c>
      <c r="N5" t="str">
        <f t="shared" si="3"/>
        <v>HMI</v>
      </c>
      <c r="O5" t="s">
        <v>50</v>
      </c>
      <c r="P5">
        <v>1</v>
      </c>
      <c r="Q5">
        <v>1</v>
      </c>
      <c r="U5">
        <v>4</v>
      </c>
      <c r="V5" t="s">
        <v>3</v>
      </c>
      <c r="W5">
        <v>1</v>
      </c>
      <c r="X5" t="str">
        <f t="shared" si="4"/>
        <v>HMI</v>
      </c>
      <c r="Y5" t="s">
        <v>23</v>
      </c>
      <c r="Z5">
        <v>1</v>
      </c>
      <c r="AB5">
        <v>4</v>
      </c>
      <c r="AC5" t="s">
        <v>47</v>
      </c>
      <c r="AD5">
        <v>1</v>
      </c>
      <c r="AJ5">
        <v>1</v>
      </c>
      <c r="AK5">
        <v>1</v>
      </c>
      <c r="AL5" t="s">
        <v>50</v>
      </c>
      <c r="AM5" t="s">
        <v>47</v>
      </c>
      <c r="AN5">
        <v>4</v>
      </c>
      <c r="AP5">
        <v>4</v>
      </c>
      <c r="AQ5" t="s">
        <v>60</v>
      </c>
      <c r="AR5" t="s">
        <v>63</v>
      </c>
      <c r="AS5">
        <v>2</v>
      </c>
    </row>
    <row r="6" spans="1:45" x14ac:dyDescent="0.35">
      <c r="A6">
        <v>1</v>
      </c>
      <c r="G6">
        <v>5</v>
      </c>
      <c r="H6" t="s">
        <v>6</v>
      </c>
      <c r="I6">
        <v>1</v>
      </c>
      <c r="J6">
        <v>4</v>
      </c>
      <c r="K6" t="str">
        <f t="shared" si="0"/>
        <v>Manual</v>
      </c>
      <c r="L6" t="str">
        <f t="shared" si="1"/>
        <v>blnMC</v>
      </c>
      <c r="M6">
        <f t="shared" si="2"/>
        <v>1</v>
      </c>
      <c r="N6" t="str">
        <f t="shared" si="3"/>
        <v>HMI</v>
      </c>
      <c r="O6" t="s">
        <v>50</v>
      </c>
      <c r="P6">
        <v>1</v>
      </c>
      <c r="Q6">
        <v>1</v>
      </c>
      <c r="U6">
        <v>5</v>
      </c>
      <c r="V6" t="s">
        <v>24</v>
      </c>
      <c r="W6">
        <v>2</v>
      </c>
      <c r="X6" t="str">
        <f t="shared" si="4"/>
        <v>PLC</v>
      </c>
      <c r="Y6" t="s">
        <v>25</v>
      </c>
      <c r="Z6">
        <v>1</v>
      </c>
      <c r="AJ6">
        <v>1</v>
      </c>
      <c r="AK6">
        <v>2</v>
      </c>
      <c r="AL6" t="s">
        <v>51</v>
      </c>
      <c r="AM6" t="s">
        <v>44</v>
      </c>
      <c r="AN6">
        <v>1</v>
      </c>
      <c r="AP6">
        <v>7</v>
      </c>
      <c r="AQ6" t="s">
        <v>64</v>
      </c>
      <c r="AR6" t="s">
        <v>65</v>
      </c>
      <c r="AS6">
        <v>1</v>
      </c>
    </row>
    <row r="7" spans="1:45" x14ac:dyDescent="0.35">
      <c r="A7">
        <v>1</v>
      </c>
      <c r="G7">
        <v>6</v>
      </c>
      <c r="H7" t="s">
        <v>7</v>
      </c>
      <c r="I7">
        <v>0</v>
      </c>
      <c r="J7">
        <v>4</v>
      </c>
      <c r="K7" t="str">
        <f t="shared" si="0"/>
        <v>Manual</v>
      </c>
      <c r="L7" t="str">
        <f t="shared" si="1"/>
        <v>blnMC</v>
      </c>
      <c r="M7">
        <f t="shared" si="2"/>
        <v>1</v>
      </c>
      <c r="N7" t="str">
        <f t="shared" si="3"/>
        <v>HMI</v>
      </c>
      <c r="O7" t="s">
        <v>50</v>
      </c>
      <c r="P7">
        <v>1</v>
      </c>
      <c r="Q7">
        <v>1</v>
      </c>
      <c r="U7">
        <v>6</v>
      </c>
      <c r="V7" t="s">
        <v>26</v>
      </c>
      <c r="W7">
        <v>2</v>
      </c>
      <c r="X7" t="str">
        <f t="shared" si="4"/>
        <v>PLC</v>
      </c>
      <c r="Y7" t="s">
        <v>27</v>
      </c>
      <c r="Z7">
        <v>1</v>
      </c>
      <c r="AJ7">
        <v>1</v>
      </c>
      <c r="AK7">
        <v>2</v>
      </c>
      <c r="AL7" t="s">
        <v>51</v>
      </c>
      <c r="AM7" t="s">
        <v>45</v>
      </c>
      <c r="AN7">
        <v>2</v>
      </c>
      <c r="AP7">
        <v>11</v>
      </c>
      <c r="AQ7" t="s">
        <v>66</v>
      </c>
      <c r="AR7" t="s">
        <v>67</v>
      </c>
      <c r="AS7">
        <v>1</v>
      </c>
    </row>
    <row r="8" spans="1:45" x14ac:dyDescent="0.35">
      <c r="A8">
        <v>1</v>
      </c>
      <c r="G8">
        <v>7</v>
      </c>
      <c r="H8" t="s">
        <v>8</v>
      </c>
      <c r="I8">
        <v>1</v>
      </c>
      <c r="J8">
        <v>5</v>
      </c>
      <c r="K8" t="str">
        <f t="shared" si="0"/>
        <v>Trip Signal</v>
      </c>
      <c r="L8" t="str">
        <f t="shared" si="1"/>
        <v>blnTRP</v>
      </c>
      <c r="M8">
        <f t="shared" si="2"/>
        <v>2</v>
      </c>
      <c r="N8" t="str">
        <f t="shared" si="3"/>
        <v>PLC</v>
      </c>
      <c r="O8" t="s">
        <v>50</v>
      </c>
      <c r="P8">
        <v>1</v>
      </c>
      <c r="Q8">
        <v>1</v>
      </c>
      <c r="U8">
        <v>7</v>
      </c>
      <c r="V8" t="s">
        <v>28</v>
      </c>
      <c r="W8">
        <v>2</v>
      </c>
      <c r="X8" t="str">
        <f t="shared" si="4"/>
        <v>PLC</v>
      </c>
      <c r="Y8" t="s">
        <v>29</v>
      </c>
      <c r="Z8">
        <v>1</v>
      </c>
      <c r="AJ8">
        <v>1</v>
      </c>
      <c r="AK8">
        <v>2</v>
      </c>
      <c r="AL8" t="s">
        <v>51</v>
      </c>
      <c r="AM8" t="s">
        <v>46</v>
      </c>
      <c r="AN8">
        <v>3</v>
      </c>
      <c r="AP8">
        <v>12</v>
      </c>
      <c r="AQ8" t="s">
        <v>68</v>
      </c>
      <c r="AR8" t="s">
        <v>69</v>
      </c>
      <c r="AS8">
        <v>1</v>
      </c>
    </row>
    <row r="9" spans="1:45" x14ac:dyDescent="0.35">
      <c r="A9">
        <v>1</v>
      </c>
      <c r="G9">
        <v>8</v>
      </c>
      <c r="H9" t="s">
        <v>9</v>
      </c>
      <c r="I9">
        <v>0</v>
      </c>
      <c r="J9">
        <v>5</v>
      </c>
      <c r="K9" t="str">
        <f t="shared" si="0"/>
        <v>Trip Signal</v>
      </c>
      <c r="L9" t="str">
        <f t="shared" si="1"/>
        <v>blnTRP</v>
      </c>
      <c r="M9">
        <f t="shared" si="2"/>
        <v>2</v>
      </c>
      <c r="N9" t="str">
        <f t="shared" si="3"/>
        <v>PLC</v>
      </c>
      <c r="O9" t="s">
        <v>50</v>
      </c>
      <c r="P9">
        <v>1</v>
      </c>
      <c r="Q9">
        <v>1</v>
      </c>
      <c r="U9">
        <v>9</v>
      </c>
      <c r="V9" t="s">
        <v>30</v>
      </c>
      <c r="W9">
        <v>2</v>
      </c>
      <c r="X9" t="str">
        <f t="shared" si="4"/>
        <v>PLC</v>
      </c>
      <c r="Y9" t="s">
        <v>31</v>
      </c>
      <c r="Z9">
        <v>1</v>
      </c>
      <c r="AJ9">
        <v>1</v>
      </c>
      <c r="AK9">
        <v>2</v>
      </c>
      <c r="AL9" t="s">
        <v>51</v>
      </c>
      <c r="AM9" t="s">
        <v>47</v>
      </c>
      <c r="AN9">
        <v>4</v>
      </c>
      <c r="AP9">
        <v>13</v>
      </c>
      <c r="AQ9" t="s">
        <v>70</v>
      </c>
      <c r="AR9" t="s">
        <v>71</v>
      </c>
      <c r="AS9">
        <v>1</v>
      </c>
    </row>
    <row r="10" spans="1:45" x14ac:dyDescent="0.35">
      <c r="A10">
        <v>1</v>
      </c>
      <c r="G10">
        <v>10</v>
      </c>
      <c r="H10" t="s">
        <v>10</v>
      </c>
      <c r="I10">
        <v>1</v>
      </c>
      <c r="J10">
        <v>6</v>
      </c>
      <c r="K10" t="str">
        <f t="shared" si="0"/>
        <v>Operation Signal</v>
      </c>
      <c r="L10" t="str">
        <f t="shared" si="1"/>
        <v>blnRUN</v>
      </c>
      <c r="M10">
        <f t="shared" si="2"/>
        <v>2</v>
      </c>
      <c r="N10" t="str">
        <f t="shared" si="3"/>
        <v>PLC</v>
      </c>
      <c r="O10" t="s">
        <v>50</v>
      </c>
      <c r="P10">
        <v>1</v>
      </c>
      <c r="Q10">
        <v>1</v>
      </c>
      <c r="U10">
        <v>10</v>
      </c>
      <c r="V10" t="s">
        <v>32</v>
      </c>
      <c r="W10">
        <v>3</v>
      </c>
      <c r="X10" t="str">
        <f t="shared" si="4"/>
        <v>Delay Timer</v>
      </c>
      <c r="Y10" t="s">
        <v>33</v>
      </c>
      <c r="Z10">
        <v>1</v>
      </c>
      <c r="AP10">
        <v>17</v>
      </c>
      <c r="AQ10" t="s">
        <v>72</v>
      </c>
      <c r="AR10" t="s">
        <v>73</v>
      </c>
      <c r="AS10">
        <v>1</v>
      </c>
    </row>
    <row r="11" spans="1:45" x14ac:dyDescent="0.35">
      <c r="A11">
        <v>1</v>
      </c>
      <c r="G11">
        <v>11</v>
      </c>
      <c r="H11" t="s">
        <v>7</v>
      </c>
      <c r="I11">
        <v>0</v>
      </c>
      <c r="J11">
        <v>6</v>
      </c>
      <c r="K11" t="str">
        <f t="shared" si="0"/>
        <v>Operation Signal</v>
      </c>
      <c r="L11" t="str">
        <f t="shared" si="1"/>
        <v>blnRUN</v>
      </c>
      <c r="M11">
        <f t="shared" si="2"/>
        <v>2</v>
      </c>
      <c r="N11" t="str">
        <f t="shared" si="3"/>
        <v>PLC</v>
      </c>
      <c r="O11" t="s">
        <v>50</v>
      </c>
      <c r="P11">
        <v>1</v>
      </c>
      <c r="Q11">
        <v>1</v>
      </c>
      <c r="U11">
        <v>11</v>
      </c>
      <c r="V11" t="s">
        <v>34</v>
      </c>
      <c r="W11">
        <v>4</v>
      </c>
      <c r="X11" t="str">
        <f t="shared" si="4"/>
        <v>Time Recorder</v>
      </c>
      <c r="Y11" t="s">
        <v>35</v>
      </c>
      <c r="Z11">
        <v>1</v>
      </c>
    </row>
    <row r="12" spans="1:45" x14ac:dyDescent="0.35">
      <c r="A12">
        <v>1</v>
      </c>
      <c r="G12">
        <v>12</v>
      </c>
      <c r="H12" t="s">
        <v>10</v>
      </c>
      <c r="I12">
        <v>1</v>
      </c>
      <c r="J12">
        <v>7</v>
      </c>
      <c r="K12" t="str">
        <f t="shared" si="0"/>
        <v>Command</v>
      </c>
      <c r="L12" t="str">
        <f t="shared" si="1"/>
        <v>blnOut</v>
      </c>
      <c r="M12">
        <f t="shared" si="2"/>
        <v>2</v>
      </c>
      <c r="N12" t="str">
        <f t="shared" si="3"/>
        <v>PLC</v>
      </c>
      <c r="O12" t="s">
        <v>50</v>
      </c>
      <c r="P12">
        <v>1</v>
      </c>
      <c r="Q12">
        <v>1</v>
      </c>
      <c r="U12">
        <v>12</v>
      </c>
      <c r="V12" t="s">
        <v>36</v>
      </c>
      <c r="W12">
        <v>1</v>
      </c>
      <c r="X12" t="str">
        <f t="shared" si="4"/>
        <v>HMI</v>
      </c>
      <c r="Y12" t="s">
        <v>21</v>
      </c>
      <c r="Z12">
        <v>1</v>
      </c>
    </row>
    <row r="13" spans="1:45" x14ac:dyDescent="0.35">
      <c r="A13">
        <v>1</v>
      </c>
      <c r="G13">
        <v>13</v>
      </c>
      <c r="H13" t="s">
        <v>7</v>
      </c>
      <c r="I13">
        <v>0</v>
      </c>
      <c r="J13">
        <v>7</v>
      </c>
      <c r="K13" t="str">
        <f t="shared" si="0"/>
        <v>Command</v>
      </c>
      <c r="L13" t="str">
        <f t="shared" si="1"/>
        <v>blnOut</v>
      </c>
      <c r="M13">
        <f t="shared" si="2"/>
        <v>2</v>
      </c>
      <c r="N13" t="str">
        <f t="shared" si="3"/>
        <v>PLC</v>
      </c>
      <c r="O13" t="s">
        <v>50</v>
      </c>
      <c r="P13">
        <v>1</v>
      </c>
      <c r="Q13">
        <v>1</v>
      </c>
      <c r="U13">
        <v>13</v>
      </c>
      <c r="V13" t="s">
        <v>37</v>
      </c>
      <c r="W13">
        <v>1</v>
      </c>
      <c r="X13" t="str">
        <f t="shared" si="4"/>
        <v>HMI</v>
      </c>
      <c r="Y13" t="s">
        <v>21</v>
      </c>
      <c r="Z13">
        <v>1</v>
      </c>
    </row>
    <row r="14" spans="1:45" x14ac:dyDescent="0.35">
      <c r="A14">
        <v>1</v>
      </c>
      <c r="G14">
        <v>15</v>
      </c>
      <c r="H14" t="s">
        <v>8</v>
      </c>
      <c r="I14">
        <v>1</v>
      </c>
      <c r="J14">
        <v>12</v>
      </c>
      <c r="K14" t="str">
        <f t="shared" si="0"/>
        <v>Trip Alarm</v>
      </c>
      <c r="L14" t="str">
        <f t="shared" si="1"/>
        <v>New Instance</v>
      </c>
      <c r="M14">
        <f t="shared" si="2"/>
        <v>1</v>
      </c>
      <c r="N14" t="str">
        <f t="shared" si="3"/>
        <v>HMI</v>
      </c>
      <c r="O14" t="s">
        <v>50</v>
      </c>
      <c r="P14">
        <v>1</v>
      </c>
      <c r="Q14">
        <v>1</v>
      </c>
      <c r="U14">
        <v>14</v>
      </c>
      <c r="V14" t="s">
        <v>38</v>
      </c>
      <c r="W14">
        <v>1</v>
      </c>
      <c r="X14" t="str">
        <f t="shared" si="4"/>
        <v>HMI</v>
      </c>
      <c r="Y14" t="s">
        <v>39</v>
      </c>
      <c r="Z14">
        <v>1</v>
      </c>
    </row>
    <row r="15" spans="1:45" x14ac:dyDescent="0.35">
      <c r="A15">
        <v>1</v>
      </c>
      <c r="G15">
        <v>16</v>
      </c>
      <c r="H15" t="s">
        <v>9</v>
      </c>
      <c r="I15">
        <v>0</v>
      </c>
      <c r="J15">
        <v>12</v>
      </c>
      <c r="K15" t="str">
        <f t="shared" si="0"/>
        <v>Trip Alarm</v>
      </c>
      <c r="L15" t="str">
        <f t="shared" si="1"/>
        <v>New Instance</v>
      </c>
      <c r="M15">
        <f t="shared" si="2"/>
        <v>1</v>
      </c>
      <c r="N15" t="str">
        <f t="shared" si="3"/>
        <v>HMI</v>
      </c>
      <c r="O15" t="s">
        <v>50</v>
      </c>
      <c r="P15">
        <v>1</v>
      </c>
      <c r="Q15">
        <v>1</v>
      </c>
      <c r="U15">
        <v>15</v>
      </c>
      <c r="V15" t="s">
        <v>40</v>
      </c>
      <c r="W15">
        <v>1</v>
      </c>
      <c r="X15" t="str">
        <f t="shared" si="4"/>
        <v>HMI</v>
      </c>
      <c r="Y15" t="s">
        <v>21</v>
      </c>
      <c r="Z15">
        <v>1</v>
      </c>
    </row>
    <row r="16" spans="1:45" x14ac:dyDescent="0.35">
      <c r="A16">
        <v>1</v>
      </c>
      <c r="G16">
        <v>17</v>
      </c>
      <c r="H16" t="s">
        <v>8</v>
      </c>
      <c r="I16">
        <v>1</v>
      </c>
      <c r="J16">
        <v>13</v>
      </c>
      <c r="K16" t="str">
        <f t="shared" si="0"/>
        <v>Run Fail Alarm</v>
      </c>
      <c r="L16" t="str">
        <f t="shared" si="1"/>
        <v>New Instance</v>
      </c>
      <c r="M16">
        <f t="shared" si="2"/>
        <v>1</v>
      </c>
      <c r="N16" t="str">
        <f t="shared" si="3"/>
        <v>HMI</v>
      </c>
      <c r="O16" t="s">
        <v>50</v>
      </c>
      <c r="P16">
        <v>1</v>
      </c>
      <c r="Q16">
        <v>1</v>
      </c>
      <c r="U16">
        <v>16</v>
      </c>
      <c r="V16" t="s">
        <v>41</v>
      </c>
      <c r="W16">
        <v>1</v>
      </c>
      <c r="X16" t="str">
        <f t="shared" si="4"/>
        <v>HMI</v>
      </c>
      <c r="Y16" t="s">
        <v>21</v>
      </c>
      <c r="Z16">
        <v>1</v>
      </c>
    </row>
    <row r="17" spans="1:26" x14ac:dyDescent="0.35">
      <c r="A17">
        <v>1</v>
      </c>
      <c r="G17">
        <v>18</v>
      </c>
      <c r="H17" t="s">
        <v>9</v>
      </c>
      <c r="I17">
        <v>0</v>
      </c>
      <c r="J17">
        <v>13</v>
      </c>
      <c r="K17" t="str">
        <f t="shared" si="0"/>
        <v>Run Fail Alarm</v>
      </c>
      <c r="L17" t="str">
        <f t="shared" si="1"/>
        <v>New Instance</v>
      </c>
      <c r="M17">
        <f t="shared" si="2"/>
        <v>1</v>
      </c>
      <c r="N17" t="str">
        <f t="shared" si="3"/>
        <v>HMI</v>
      </c>
      <c r="O17" t="s">
        <v>50</v>
      </c>
      <c r="P17">
        <v>1</v>
      </c>
      <c r="Q17">
        <v>1</v>
      </c>
      <c r="U17">
        <v>17</v>
      </c>
      <c r="V17" t="s">
        <v>42</v>
      </c>
      <c r="W17">
        <v>1</v>
      </c>
      <c r="X17" t="str">
        <f t="shared" si="4"/>
        <v>HMI</v>
      </c>
      <c r="Y17" t="s">
        <v>43</v>
      </c>
      <c r="Z17">
        <v>1</v>
      </c>
    </row>
    <row r="18" spans="1:26" x14ac:dyDescent="0.35">
      <c r="A18">
        <v>1</v>
      </c>
      <c r="G18">
        <v>19</v>
      </c>
      <c r="H18" t="s">
        <v>11</v>
      </c>
      <c r="I18">
        <v>1</v>
      </c>
      <c r="J18">
        <v>14</v>
      </c>
      <c r="K18" t="str">
        <f t="shared" si="0"/>
        <v>Sequence Auto</v>
      </c>
      <c r="L18" t="str">
        <f t="shared" si="1"/>
        <v>blnAUT</v>
      </c>
      <c r="M18">
        <f t="shared" si="2"/>
        <v>1</v>
      </c>
      <c r="N18" t="str">
        <f t="shared" si="3"/>
        <v>HMI</v>
      </c>
      <c r="O18" t="s">
        <v>50</v>
      </c>
      <c r="P18">
        <v>1</v>
      </c>
      <c r="Q18">
        <v>1</v>
      </c>
    </row>
    <row r="19" spans="1:26" x14ac:dyDescent="0.35">
      <c r="A19">
        <v>1</v>
      </c>
      <c r="G19">
        <v>20</v>
      </c>
      <c r="H19" t="s">
        <v>12</v>
      </c>
      <c r="I19">
        <v>0</v>
      </c>
      <c r="J19">
        <v>14</v>
      </c>
      <c r="K19" t="str">
        <f t="shared" si="0"/>
        <v>Sequence Auto</v>
      </c>
      <c r="L19" t="str">
        <f t="shared" si="1"/>
        <v>blnAUT</v>
      </c>
      <c r="M19">
        <f t="shared" si="2"/>
        <v>1</v>
      </c>
      <c r="N19" t="str">
        <f t="shared" si="3"/>
        <v>HMI</v>
      </c>
      <c r="O19" t="s">
        <v>50</v>
      </c>
      <c r="P19">
        <v>1</v>
      </c>
      <c r="Q19">
        <v>1</v>
      </c>
    </row>
    <row r="20" spans="1:26" x14ac:dyDescent="0.35">
      <c r="A20">
        <v>1</v>
      </c>
      <c r="G20">
        <v>21</v>
      </c>
      <c r="H20" t="s">
        <v>8</v>
      </c>
      <c r="I20">
        <v>1</v>
      </c>
      <c r="J20">
        <v>15</v>
      </c>
      <c r="K20" t="str">
        <f t="shared" si="0"/>
        <v>Run Fail Buzzer</v>
      </c>
      <c r="L20" t="str">
        <f t="shared" si="1"/>
        <v>New Instance</v>
      </c>
      <c r="M20">
        <f t="shared" si="2"/>
        <v>1</v>
      </c>
      <c r="N20" t="str">
        <f t="shared" si="3"/>
        <v>HMI</v>
      </c>
      <c r="O20" t="s">
        <v>50</v>
      </c>
      <c r="P20">
        <v>1</v>
      </c>
      <c r="Q20">
        <v>1</v>
      </c>
    </row>
    <row r="21" spans="1:26" x14ac:dyDescent="0.35">
      <c r="A21">
        <v>1</v>
      </c>
      <c r="G21">
        <v>22</v>
      </c>
      <c r="H21" t="s">
        <v>9</v>
      </c>
      <c r="I21">
        <v>0</v>
      </c>
      <c r="J21">
        <v>15</v>
      </c>
      <c r="K21" t="str">
        <f t="shared" si="0"/>
        <v>Run Fail Buzzer</v>
      </c>
      <c r="L21" t="str">
        <f t="shared" si="1"/>
        <v>New Instance</v>
      </c>
      <c r="M21">
        <f t="shared" si="2"/>
        <v>1</v>
      </c>
      <c r="N21" t="str">
        <f t="shared" si="3"/>
        <v>HMI</v>
      </c>
      <c r="O21" t="s">
        <v>50</v>
      </c>
      <c r="P21">
        <v>1</v>
      </c>
      <c r="Q21">
        <v>1</v>
      </c>
    </row>
    <row r="22" spans="1:26" x14ac:dyDescent="0.35">
      <c r="A22">
        <v>1</v>
      </c>
      <c r="G22">
        <v>23</v>
      </c>
      <c r="H22" t="s">
        <v>8</v>
      </c>
      <c r="I22">
        <v>1</v>
      </c>
      <c r="J22">
        <v>16</v>
      </c>
      <c r="K22" t="str">
        <f t="shared" si="0"/>
        <v>Trip Buzzer</v>
      </c>
      <c r="L22" t="str">
        <f t="shared" si="1"/>
        <v>New Instance</v>
      </c>
      <c r="M22">
        <f t="shared" si="2"/>
        <v>1</v>
      </c>
      <c r="N22" t="str">
        <f t="shared" si="3"/>
        <v>HMI</v>
      </c>
      <c r="O22" t="s">
        <v>50</v>
      </c>
      <c r="P22">
        <v>1</v>
      </c>
      <c r="Q22">
        <v>1</v>
      </c>
    </row>
    <row r="23" spans="1:26" x14ac:dyDescent="0.35">
      <c r="A23">
        <v>1</v>
      </c>
      <c r="G23">
        <v>24</v>
      </c>
      <c r="H23" t="s">
        <v>9</v>
      </c>
      <c r="I23">
        <v>0</v>
      </c>
      <c r="J23">
        <v>16</v>
      </c>
      <c r="K23" t="str">
        <f t="shared" si="0"/>
        <v>Trip Buzzer</v>
      </c>
      <c r="L23" t="str">
        <f t="shared" si="1"/>
        <v>New Instance</v>
      </c>
      <c r="M23">
        <f t="shared" si="2"/>
        <v>1</v>
      </c>
      <c r="N23" t="str">
        <f t="shared" si="3"/>
        <v>HMI</v>
      </c>
      <c r="O23" t="s">
        <v>50</v>
      </c>
      <c r="P23">
        <v>1</v>
      </c>
      <c r="Q23">
        <v>1</v>
      </c>
    </row>
    <row r="24" spans="1:26" x14ac:dyDescent="0.35">
      <c r="A24">
        <v>1</v>
      </c>
    </row>
    <row r="25" spans="1:26" x14ac:dyDescent="0.35">
      <c r="A25">
        <v>1</v>
      </c>
    </row>
    <row r="26" spans="1:26" x14ac:dyDescent="0.35">
      <c r="A26">
        <v>1</v>
      </c>
    </row>
    <row r="27" spans="1:26" x14ac:dyDescent="0.35">
      <c r="A27">
        <v>1</v>
      </c>
    </row>
    <row r="28" spans="1:26" x14ac:dyDescent="0.35">
      <c r="A28">
        <v>1</v>
      </c>
    </row>
    <row r="29" spans="1:26" x14ac:dyDescent="0.35">
      <c r="A29">
        <v>1</v>
      </c>
    </row>
    <row r="30" spans="1:26" x14ac:dyDescent="0.35">
      <c r="A30">
        <v>1</v>
      </c>
    </row>
    <row r="31" spans="1:26" x14ac:dyDescent="0.35">
      <c r="A31">
        <v>1</v>
      </c>
    </row>
    <row r="32" spans="1:26" x14ac:dyDescent="0.35">
      <c r="A32">
        <v>1</v>
      </c>
    </row>
    <row r="33" spans="1:1" x14ac:dyDescent="0.35">
      <c r="A3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A5A0-8059-423C-AF21-3E392F93D4CF}">
  <dimension ref="A1:K23"/>
  <sheetViews>
    <sheetView topLeftCell="B3" zoomScale="115" zoomScaleNormal="115" workbookViewId="0">
      <selection activeCell="J10" sqref="J10"/>
    </sheetView>
  </sheetViews>
  <sheetFormatPr defaultRowHeight="14.5" x14ac:dyDescent="0.35"/>
  <cols>
    <col min="1" max="1" width="13.26953125" bestFit="1" customWidth="1"/>
    <col min="2" max="2" width="7.453125" bestFit="1" customWidth="1"/>
    <col min="3" max="3" width="11.54296875" bestFit="1" customWidth="1"/>
    <col min="4" max="4" width="14.81640625" bestFit="1" customWidth="1"/>
    <col min="5" max="5" width="18.26953125" bestFit="1" customWidth="1"/>
    <col min="6" max="6" width="21.1796875" bestFit="1" customWidth="1"/>
    <col min="7" max="7" width="12.36328125" bestFit="1" customWidth="1"/>
    <col min="8" max="8" width="15.36328125" bestFit="1" customWidth="1"/>
    <col min="9" max="9" width="25.6328125" bestFit="1" customWidth="1"/>
    <col min="10" max="10" width="23.453125" bestFit="1" customWidth="1"/>
    <col min="11" max="11" width="19.90625" customWidth="1"/>
  </cols>
  <sheetData>
    <row r="1" spans="1:11" x14ac:dyDescent="0.35">
      <c r="A1" s="3" t="s">
        <v>49</v>
      </c>
      <c r="B1" s="3" t="s">
        <v>0</v>
      </c>
      <c r="C1" s="3" t="s">
        <v>53</v>
      </c>
      <c r="D1" s="3" t="s">
        <v>52</v>
      </c>
      <c r="E1" s="3" t="s">
        <v>13</v>
      </c>
      <c r="F1" s="3" t="s">
        <v>15</v>
      </c>
      <c r="G1" s="3" t="s">
        <v>16</v>
      </c>
      <c r="H1" s="3" t="s">
        <v>48</v>
      </c>
      <c r="I1" s="3" t="s">
        <v>74</v>
      </c>
      <c r="J1" s="3" t="s">
        <v>75</v>
      </c>
      <c r="K1" s="3" t="s">
        <v>1</v>
      </c>
    </row>
    <row r="2" spans="1:11" x14ac:dyDescent="0.35">
      <c r="A2" t="s">
        <v>76</v>
      </c>
      <c r="B2" t="s">
        <v>76</v>
      </c>
      <c r="C2" t="s">
        <v>76</v>
      </c>
      <c r="D2" t="s">
        <v>50</v>
      </c>
      <c r="E2" t="s">
        <v>76</v>
      </c>
      <c r="F2" t="s">
        <v>18</v>
      </c>
      <c r="G2" t="s">
        <v>76</v>
      </c>
      <c r="H2" t="s">
        <v>44</v>
      </c>
      <c r="I2" t="s">
        <v>19</v>
      </c>
      <c r="J2" t="s">
        <v>77</v>
      </c>
      <c r="K2" t="s">
        <v>2</v>
      </c>
    </row>
    <row r="3" spans="1:11" x14ac:dyDescent="0.35">
      <c r="A3" t="s">
        <v>78</v>
      </c>
      <c r="B3" t="s">
        <v>76</v>
      </c>
      <c r="C3" t="s">
        <v>76</v>
      </c>
      <c r="D3" t="s">
        <v>50</v>
      </c>
      <c r="E3" t="s">
        <v>76</v>
      </c>
      <c r="F3" t="s">
        <v>18</v>
      </c>
      <c r="G3" t="s">
        <v>76</v>
      </c>
      <c r="H3" t="s">
        <v>44</v>
      </c>
      <c r="I3" t="s">
        <v>19</v>
      </c>
      <c r="J3" t="s">
        <v>76</v>
      </c>
      <c r="K3" t="s">
        <v>3</v>
      </c>
    </row>
    <row r="4" spans="1:11" x14ac:dyDescent="0.35">
      <c r="A4" t="s">
        <v>79</v>
      </c>
      <c r="B4" t="s">
        <v>76</v>
      </c>
      <c r="C4" t="s">
        <v>76</v>
      </c>
      <c r="D4" t="s">
        <v>50</v>
      </c>
      <c r="E4" t="s">
        <v>78</v>
      </c>
      <c r="F4" s="5" t="s">
        <v>20</v>
      </c>
      <c r="G4" s="5" t="s">
        <v>76</v>
      </c>
      <c r="H4" s="5" t="s">
        <v>44</v>
      </c>
      <c r="I4" s="5" t="s">
        <v>21</v>
      </c>
      <c r="J4" s="5" t="s">
        <v>77</v>
      </c>
      <c r="K4" s="5" t="s">
        <v>4</v>
      </c>
    </row>
    <row r="5" spans="1:11" x14ac:dyDescent="0.35">
      <c r="A5" t="s">
        <v>80</v>
      </c>
      <c r="B5" t="s">
        <v>76</v>
      </c>
      <c r="C5" t="s">
        <v>76</v>
      </c>
      <c r="D5" t="s">
        <v>50</v>
      </c>
      <c r="E5" t="s">
        <v>78</v>
      </c>
      <c r="F5" s="5" t="s">
        <v>20</v>
      </c>
      <c r="G5" s="5" t="s">
        <v>76</v>
      </c>
      <c r="H5" s="5" t="s">
        <v>44</v>
      </c>
      <c r="I5" s="5" t="s">
        <v>21</v>
      </c>
      <c r="J5" s="5" t="s">
        <v>77</v>
      </c>
      <c r="K5" s="5" t="s">
        <v>5</v>
      </c>
    </row>
    <row r="6" spans="1:11" x14ac:dyDescent="0.35">
      <c r="A6" t="s">
        <v>81</v>
      </c>
      <c r="B6" t="s">
        <v>76</v>
      </c>
      <c r="C6" t="s">
        <v>76</v>
      </c>
      <c r="D6" t="s">
        <v>50</v>
      </c>
      <c r="E6" t="s">
        <v>80</v>
      </c>
      <c r="F6" t="s">
        <v>3</v>
      </c>
      <c r="G6" t="s">
        <v>76</v>
      </c>
      <c r="H6" t="s">
        <v>44</v>
      </c>
      <c r="I6" t="s">
        <v>23</v>
      </c>
      <c r="J6" t="s">
        <v>76</v>
      </c>
      <c r="K6" t="s">
        <v>6</v>
      </c>
    </row>
    <row r="7" spans="1:11" x14ac:dyDescent="0.35">
      <c r="A7" t="s">
        <v>82</v>
      </c>
      <c r="B7" t="s">
        <v>76</v>
      </c>
      <c r="C7" t="s">
        <v>76</v>
      </c>
      <c r="D7" t="s">
        <v>50</v>
      </c>
      <c r="E7" t="s">
        <v>80</v>
      </c>
      <c r="F7" t="s">
        <v>3</v>
      </c>
      <c r="G7" t="s">
        <v>76</v>
      </c>
      <c r="H7" t="s">
        <v>44</v>
      </c>
      <c r="I7" t="s">
        <v>23</v>
      </c>
      <c r="J7" t="s">
        <v>77</v>
      </c>
      <c r="K7" t="s">
        <v>7</v>
      </c>
    </row>
    <row r="8" spans="1:11" x14ac:dyDescent="0.35">
      <c r="A8" t="s">
        <v>83</v>
      </c>
      <c r="B8" t="s">
        <v>76</v>
      </c>
      <c r="C8" t="s">
        <v>76</v>
      </c>
      <c r="D8" t="s">
        <v>50</v>
      </c>
      <c r="E8" t="s">
        <v>81</v>
      </c>
      <c r="F8" t="s">
        <v>24</v>
      </c>
      <c r="G8" t="s">
        <v>78</v>
      </c>
      <c r="H8" t="s">
        <v>45</v>
      </c>
      <c r="I8" t="s">
        <v>25</v>
      </c>
      <c r="J8" t="s">
        <v>76</v>
      </c>
      <c r="K8" t="s">
        <v>8</v>
      </c>
    </row>
    <row r="9" spans="1:11" x14ac:dyDescent="0.35">
      <c r="A9" t="s">
        <v>84</v>
      </c>
      <c r="B9" t="s">
        <v>76</v>
      </c>
      <c r="C9" t="s">
        <v>76</v>
      </c>
      <c r="D9" t="s">
        <v>50</v>
      </c>
      <c r="E9" t="s">
        <v>81</v>
      </c>
      <c r="F9" t="s">
        <v>24</v>
      </c>
      <c r="G9" t="s">
        <v>78</v>
      </c>
      <c r="H9" t="s">
        <v>45</v>
      </c>
      <c r="I9" t="s">
        <v>25</v>
      </c>
      <c r="J9" t="s">
        <v>77</v>
      </c>
      <c r="K9" t="s">
        <v>9</v>
      </c>
    </row>
    <row r="10" spans="1:11" x14ac:dyDescent="0.35">
      <c r="A10" t="s">
        <v>85</v>
      </c>
      <c r="B10" t="s">
        <v>76</v>
      </c>
      <c r="C10" t="s">
        <v>76</v>
      </c>
      <c r="D10" t="s">
        <v>50</v>
      </c>
      <c r="E10" t="s">
        <v>82</v>
      </c>
      <c r="F10" t="s">
        <v>26</v>
      </c>
      <c r="G10" t="s">
        <v>78</v>
      </c>
      <c r="H10" t="s">
        <v>45</v>
      </c>
      <c r="I10" t="s">
        <v>27</v>
      </c>
      <c r="J10" t="s">
        <v>76</v>
      </c>
      <c r="K10" t="s">
        <v>10</v>
      </c>
    </row>
    <row r="11" spans="1:11" x14ac:dyDescent="0.35">
      <c r="A11" t="s">
        <v>86</v>
      </c>
      <c r="B11" t="s">
        <v>76</v>
      </c>
      <c r="C11" t="s">
        <v>76</v>
      </c>
      <c r="D11" t="s">
        <v>50</v>
      </c>
      <c r="E11" t="s">
        <v>82</v>
      </c>
      <c r="F11" t="s">
        <v>26</v>
      </c>
      <c r="G11" t="s">
        <v>78</v>
      </c>
      <c r="H11" t="s">
        <v>45</v>
      </c>
      <c r="I11" t="s">
        <v>27</v>
      </c>
      <c r="J11" t="s">
        <v>77</v>
      </c>
      <c r="K11" t="s">
        <v>7</v>
      </c>
    </row>
    <row r="12" spans="1:11" x14ac:dyDescent="0.35">
      <c r="A12" t="s">
        <v>87</v>
      </c>
      <c r="B12" t="s">
        <v>76</v>
      </c>
      <c r="C12" t="s">
        <v>76</v>
      </c>
      <c r="D12" t="s">
        <v>50</v>
      </c>
      <c r="E12" t="s">
        <v>83</v>
      </c>
      <c r="F12" t="s">
        <v>28</v>
      </c>
      <c r="G12" t="s">
        <v>78</v>
      </c>
      <c r="H12" t="s">
        <v>45</v>
      </c>
      <c r="I12" t="s">
        <v>29</v>
      </c>
      <c r="J12" t="s">
        <v>76</v>
      </c>
      <c r="K12" t="s">
        <v>10</v>
      </c>
    </row>
    <row r="13" spans="1:11" x14ac:dyDescent="0.35">
      <c r="A13" t="s">
        <v>88</v>
      </c>
      <c r="B13" t="s">
        <v>76</v>
      </c>
      <c r="C13" t="s">
        <v>76</v>
      </c>
      <c r="D13" t="s">
        <v>50</v>
      </c>
      <c r="E13" t="s">
        <v>83</v>
      </c>
      <c r="F13" t="s">
        <v>28</v>
      </c>
      <c r="G13" t="s">
        <v>78</v>
      </c>
      <c r="H13" t="s">
        <v>45</v>
      </c>
      <c r="I13" t="s">
        <v>29</v>
      </c>
      <c r="J13" t="s">
        <v>77</v>
      </c>
      <c r="K13" t="s">
        <v>7</v>
      </c>
    </row>
    <row r="14" spans="1:11" x14ac:dyDescent="0.35">
      <c r="A14" t="s">
        <v>89</v>
      </c>
      <c r="B14" t="s">
        <v>76</v>
      </c>
      <c r="C14" t="s">
        <v>76</v>
      </c>
      <c r="D14" t="s">
        <v>50</v>
      </c>
      <c r="E14" t="s">
        <v>87</v>
      </c>
      <c r="F14" s="5" t="s">
        <v>36</v>
      </c>
      <c r="G14" s="5" t="s">
        <v>76</v>
      </c>
      <c r="H14" s="5" t="s">
        <v>44</v>
      </c>
      <c r="I14" s="5" t="s">
        <v>21</v>
      </c>
      <c r="J14" s="5" t="s">
        <v>76</v>
      </c>
      <c r="K14" s="5" t="s">
        <v>8</v>
      </c>
    </row>
    <row r="15" spans="1:11" x14ac:dyDescent="0.35">
      <c r="A15" t="s">
        <v>90</v>
      </c>
      <c r="B15" t="s">
        <v>76</v>
      </c>
      <c r="C15" t="s">
        <v>76</v>
      </c>
      <c r="D15" t="s">
        <v>50</v>
      </c>
      <c r="E15" t="s">
        <v>87</v>
      </c>
      <c r="F15" s="5" t="s">
        <v>36</v>
      </c>
      <c r="G15" s="5" t="s">
        <v>76</v>
      </c>
      <c r="H15" s="5" t="s">
        <v>44</v>
      </c>
      <c r="I15" s="5" t="s">
        <v>21</v>
      </c>
      <c r="J15" s="5" t="s">
        <v>77</v>
      </c>
      <c r="K15" s="5" t="s">
        <v>9</v>
      </c>
    </row>
    <row r="16" spans="1:11" x14ac:dyDescent="0.35">
      <c r="A16" t="s">
        <v>91</v>
      </c>
      <c r="B16" t="s">
        <v>76</v>
      </c>
      <c r="C16" t="s">
        <v>76</v>
      </c>
      <c r="D16" t="s">
        <v>50</v>
      </c>
      <c r="E16" t="s">
        <v>88</v>
      </c>
      <c r="F16" s="5" t="s">
        <v>37</v>
      </c>
      <c r="G16" s="5" t="s">
        <v>76</v>
      </c>
      <c r="H16" s="5" t="s">
        <v>44</v>
      </c>
      <c r="I16" s="5" t="s">
        <v>21</v>
      </c>
      <c r="J16" s="5" t="s">
        <v>76</v>
      </c>
      <c r="K16" s="5" t="s">
        <v>8</v>
      </c>
    </row>
    <row r="17" spans="1:11" x14ac:dyDescent="0.35">
      <c r="A17" t="s">
        <v>92</v>
      </c>
      <c r="B17" t="s">
        <v>76</v>
      </c>
      <c r="C17" t="s">
        <v>76</v>
      </c>
      <c r="D17" t="s">
        <v>50</v>
      </c>
      <c r="E17" t="s">
        <v>88</v>
      </c>
      <c r="F17" s="5" t="s">
        <v>37</v>
      </c>
      <c r="G17" s="5" t="s">
        <v>76</v>
      </c>
      <c r="H17" s="5" t="s">
        <v>44</v>
      </c>
      <c r="I17" s="5" t="s">
        <v>21</v>
      </c>
      <c r="J17" s="5" t="s">
        <v>77</v>
      </c>
      <c r="K17" s="5" t="s">
        <v>9</v>
      </c>
    </row>
    <row r="18" spans="1:11" x14ac:dyDescent="0.35">
      <c r="A18" t="s">
        <v>93</v>
      </c>
      <c r="B18" t="s">
        <v>76</v>
      </c>
      <c r="C18" t="s">
        <v>76</v>
      </c>
      <c r="D18" t="s">
        <v>50</v>
      </c>
      <c r="E18" t="s">
        <v>94</v>
      </c>
      <c r="F18" t="s">
        <v>38</v>
      </c>
      <c r="G18" t="s">
        <v>76</v>
      </c>
      <c r="H18" t="s">
        <v>44</v>
      </c>
      <c r="I18" t="s">
        <v>39</v>
      </c>
      <c r="J18" t="s">
        <v>76</v>
      </c>
      <c r="K18" t="s">
        <v>11</v>
      </c>
    </row>
    <row r="19" spans="1:11" x14ac:dyDescent="0.35">
      <c r="A19" t="s">
        <v>95</v>
      </c>
      <c r="B19" t="s">
        <v>76</v>
      </c>
      <c r="C19" t="s">
        <v>76</v>
      </c>
      <c r="D19" t="s">
        <v>50</v>
      </c>
      <c r="E19" t="s">
        <v>94</v>
      </c>
      <c r="F19" t="s">
        <v>38</v>
      </c>
      <c r="G19" t="s">
        <v>76</v>
      </c>
      <c r="H19" t="s">
        <v>44</v>
      </c>
      <c r="I19" t="s">
        <v>39</v>
      </c>
      <c r="J19" t="s">
        <v>77</v>
      </c>
      <c r="K19" t="s">
        <v>12</v>
      </c>
    </row>
    <row r="20" spans="1:11" x14ac:dyDescent="0.35">
      <c r="A20" t="s">
        <v>96</v>
      </c>
      <c r="B20" t="s">
        <v>76</v>
      </c>
      <c r="C20" t="s">
        <v>76</v>
      </c>
      <c r="D20" t="s">
        <v>50</v>
      </c>
      <c r="E20" t="s">
        <v>89</v>
      </c>
      <c r="F20" s="5" t="s">
        <v>40</v>
      </c>
      <c r="G20" s="5" t="s">
        <v>76</v>
      </c>
      <c r="H20" s="5" t="s">
        <v>44</v>
      </c>
      <c r="I20" s="5" t="s">
        <v>21</v>
      </c>
      <c r="J20" s="5" t="s">
        <v>76</v>
      </c>
      <c r="K20" s="5" t="s">
        <v>8</v>
      </c>
    </row>
    <row r="21" spans="1:11" x14ac:dyDescent="0.35">
      <c r="A21" t="s">
        <v>97</v>
      </c>
      <c r="B21" t="s">
        <v>76</v>
      </c>
      <c r="C21" t="s">
        <v>76</v>
      </c>
      <c r="D21" t="s">
        <v>50</v>
      </c>
      <c r="E21" t="s">
        <v>89</v>
      </c>
      <c r="F21" s="5" t="s">
        <v>40</v>
      </c>
      <c r="G21" s="5" t="s">
        <v>76</v>
      </c>
      <c r="H21" s="5" t="s">
        <v>44</v>
      </c>
      <c r="I21" s="5" t="s">
        <v>21</v>
      </c>
      <c r="J21" s="5" t="s">
        <v>77</v>
      </c>
      <c r="K21" s="5" t="s">
        <v>9</v>
      </c>
    </row>
    <row r="22" spans="1:11" x14ac:dyDescent="0.35">
      <c r="A22" t="s">
        <v>98</v>
      </c>
      <c r="B22" t="s">
        <v>76</v>
      </c>
      <c r="C22" t="s">
        <v>76</v>
      </c>
      <c r="D22" t="s">
        <v>50</v>
      </c>
      <c r="E22" t="s">
        <v>90</v>
      </c>
      <c r="F22" s="5" t="s">
        <v>41</v>
      </c>
      <c r="G22" s="5" t="s">
        <v>76</v>
      </c>
      <c r="H22" s="5" t="s">
        <v>44</v>
      </c>
      <c r="I22" s="5" t="s">
        <v>21</v>
      </c>
      <c r="J22" s="5" t="s">
        <v>76</v>
      </c>
      <c r="K22" s="5" t="s">
        <v>8</v>
      </c>
    </row>
    <row r="23" spans="1:11" x14ac:dyDescent="0.35">
      <c r="A23" t="s">
        <v>99</v>
      </c>
      <c r="B23" t="s">
        <v>76</v>
      </c>
      <c r="C23" t="s">
        <v>76</v>
      </c>
      <c r="D23" t="s">
        <v>50</v>
      </c>
      <c r="E23" t="s">
        <v>90</v>
      </c>
      <c r="F23" s="5" t="s">
        <v>41</v>
      </c>
      <c r="G23" s="5" t="s">
        <v>76</v>
      </c>
      <c r="H23" s="5" t="s">
        <v>44</v>
      </c>
      <c r="I23" s="5" t="s">
        <v>21</v>
      </c>
      <c r="J23" s="5" t="s">
        <v>77</v>
      </c>
      <c r="K23" s="5"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131B-78D4-4767-A06A-241F09171867}">
  <dimension ref="A1:J23"/>
  <sheetViews>
    <sheetView zoomScale="85" zoomScaleNormal="85" workbookViewId="0">
      <selection activeCell="G1" sqref="G1"/>
    </sheetView>
  </sheetViews>
  <sheetFormatPr defaultRowHeight="14.5" x14ac:dyDescent="0.35"/>
  <cols>
    <col min="1" max="1" width="13.90625" bestFit="1" customWidth="1"/>
    <col min="3" max="3" width="11.54296875" bestFit="1" customWidth="1"/>
    <col min="4" max="4" width="12.6328125" bestFit="1" customWidth="1"/>
    <col min="5" max="5" width="16.08984375" bestFit="1" customWidth="1"/>
    <col min="6" max="6" width="27.36328125" bestFit="1" customWidth="1"/>
    <col min="7" max="7" width="25.1796875" bestFit="1" customWidth="1"/>
    <col min="8" max="8" width="17.453125" bestFit="1" customWidth="1"/>
    <col min="9" max="9" width="22.6328125" customWidth="1"/>
    <col min="10" max="10" width="21.6328125" bestFit="1" customWidth="1"/>
  </cols>
  <sheetData>
    <row r="1" spans="1:10" x14ac:dyDescent="0.35">
      <c r="A1" s="3" t="s">
        <v>49</v>
      </c>
      <c r="B1" s="3" t="s">
        <v>0</v>
      </c>
      <c r="C1" s="3" t="s">
        <v>53</v>
      </c>
      <c r="D1" s="3" t="s">
        <v>16</v>
      </c>
      <c r="E1" s="3" t="s">
        <v>48</v>
      </c>
      <c r="F1" s="3" t="s">
        <v>74</v>
      </c>
      <c r="G1" s="3" t="s">
        <v>75</v>
      </c>
      <c r="H1" s="3" t="s">
        <v>1</v>
      </c>
      <c r="I1" s="3" t="s">
        <v>13</v>
      </c>
      <c r="J1" s="3" t="s">
        <v>15</v>
      </c>
    </row>
    <row r="2" spans="1:10" x14ac:dyDescent="0.35">
      <c r="A2">
        <v>1</v>
      </c>
      <c r="B2">
        <v>1</v>
      </c>
      <c r="C2">
        <v>1</v>
      </c>
      <c r="D2">
        <v>1</v>
      </c>
      <c r="E2" t="s">
        <v>44</v>
      </c>
      <c r="F2" t="s">
        <v>19</v>
      </c>
      <c r="G2">
        <v>0</v>
      </c>
      <c r="H2" t="s">
        <v>2</v>
      </c>
      <c r="I2">
        <v>1</v>
      </c>
      <c r="J2" t="s">
        <v>18</v>
      </c>
    </row>
    <row r="3" spans="1:10" x14ac:dyDescent="0.35">
      <c r="A3">
        <v>2</v>
      </c>
      <c r="B3">
        <v>1</v>
      </c>
      <c r="C3">
        <v>1</v>
      </c>
      <c r="D3">
        <v>1</v>
      </c>
      <c r="E3" t="s">
        <v>44</v>
      </c>
      <c r="F3" t="s">
        <v>19</v>
      </c>
      <c r="G3">
        <v>1</v>
      </c>
      <c r="H3" t="s">
        <v>3</v>
      </c>
      <c r="I3">
        <v>1</v>
      </c>
      <c r="J3" t="s">
        <v>18</v>
      </c>
    </row>
    <row r="4" spans="1:10" x14ac:dyDescent="0.35">
      <c r="A4">
        <v>3</v>
      </c>
      <c r="B4">
        <v>1</v>
      </c>
      <c r="C4">
        <v>1</v>
      </c>
      <c r="D4">
        <v>1</v>
      </c>
      <c r="E4" t="s">
        <v>44</v>
      </c>
      <c r="F4" t="s">
        <v>21</v>
      </c>
      <c r="G4">
        <v>0</v>
      </c>
      <c r="H4" t="s">
        <v>4</v>
      </c>
      <c r="I4">
        <v>2</v>
      </c>
      <c r="J4" t="s">
        <v>20</v>
      </c>
    </row>
    <row r="5" spans="1:10" x14ac:dyDescent="0.35">
      <c r="A5">
        <v>4</v>
      </c>
      <c r="B5">
        <v>1</v>
      </c>
      <c r="C5">
        <v>1</v>
      </c>
      <c r="D5">
        <v>1</v>
      </c>
      <c r="E5" t="s">
        <v>44</v>
      </c>
      <c r="F5" t="s">
        <v>21</v>
      </c>
      <c r="G5">
        <v>0</v>
      </c>
      <c r="H5" t="s">
        <v>5</v>
      </c>
      <c r="I5">
        <v>2</v>
      </c>
      <c r="J5" t="s">
        <v>20</v>
      </c>
    </row>
    <row r="6" spans="1:10" x14ac:dyDescent="0.35">
      <c r="A6">
        <v>5</v>
      </c>
      <c r="B6">
        <v>1</v>
      </c>
      <c r="C6">
        <v>1</v>
      </c>
      <c r="D6">
        <v>1</v>
      </c>
      <c r="E6" t="s">
        <v>44</v>
      </c>
      <c r="F6" t="s">
        <v>23</v>
      </c>
      <c r="G6">
        <v>1</v>
      </c>
      <c r="H6" t="s">
        <v>6</v>
      </c>
      <c r="I6">
        <v>4</v>
      </c>
      <c r="J6" t="s">
        <v>3</v>
      </c>
    </row>
    <row r="7" spans="1:10" x14ac:dyDescent="0.35">
      <c r="A7">
        <v>6</v>
      </c>
      <c r="B7">
        <v>1</v>
      </c>
      <c r="C7">
        <v>1</v>
      </c>
      <c r="D7">
        <v>1</v>
      </c>
      <c r="E7" t="s">
        <v>44</v>
      </c>
      <c r="F7" t="s">
        <v>23</v>
      </c>
      <c r="G7">
        <v>0</v>
      </c>
      <c r="H7" t="s">
        <v>7</v>
      </c>
      <c r="I7">
        <v>4</v>
      </c>
      <c r="J7" t="s">
        <v>3</v>
      </c>
    </row>
    <row r="8" spans="1:10" x14ac:dyDescent="0.35">
      <c r="A8">
        <v>7</v>
      </c>
      <c r="B8">
        <v>1</v>
      </c>
      <c r="C8">
        <v>1</v>
      </c>
      <c r="D8">
        <v>2</v>
      </c>
      <c r="E8" t="s">
        <v>45</v>
      </c>
      <c r="F8" t="s">
        <v>25</v>
      </c>
      <c r="G8">
        <v>1</v>
      </c>
      <c r="H8" t="s">
        <v>8</v>
      </c>
      <c r="I8">
        <v>5</v>
      </c>
      <c r="J8" t="s">
        <v>24</v>
      </c>
    </row>
    <row r="9" spans="1:10" x14ac:dyDescent="0.35">
      <c r="A9">
        <v>8</v>
      </c>
      <c r="B9">
        <v>1</v>
      </c>
      <c r="C9">
        <v>1</v>
      </c>
      <c r="D9">
        <v>2</v>
      </c>
      <c r="E9" t="s">
        <v>45</v>
      </c>
      <c r="F9" t="s">
        <v>25</v>
      </c>
      <c r="G9">
        <v>0</v>
      </c>
      <c r="H9" t="s">
        <v>9</v>
      </c>
      <c r="I9">
        <v>5</v>
      </c>
      <c r="J9" t="s">
        <v>24</v>
      </c>
    </row>
    <row r="10" spans="1:10" x14ac:dyDescent="0.35">
      <c r="A10">
        <v>10</v>
      </c>
      <c r="B10">
        <v>1</v>
      </c>
      <c r="C10">
        <v>1</v>
      </c>
      <c r="D10">
        <v>2</v>
      </c>
      <c r="E10" t="s">
        <v>45</v>
      </c>
      <c r="F10" t="s">
        <v>27</v>
      </c>
      <c r="G10">
        <v>1</v>
      </c>
      <c r="H10" t="s">
        <v>10</v>
      </c>
      <c r="I10">
        <v>6</v>
      </c>
      <c r="J10" t="s">
        <v>26</v>
      </c>
    </row>
    <row r="11" spans="1:10" x14ac:dyDescent="0.35">
      <c r="A11">
        <v>11</v>
      </c>
      <c r="B11">
        <v>1</v>
      </c>
      <c r="C11">
        <v>1</v>
      </c>
      <c r="D11">
        <v>2</v>
      </c>
      <c r="E11" t="s">
        <v>45</v>
      </c>
      <c r="F11" t="s">
        <v>27</v>
      </c>
      <c r="G11">
        <v>0</v>
      </c>
      <c r="H11" t="s">
        <v>7</v>
      </c>
      <c r="I11">
        <v>6</v>
      </c>
      <c r="J11" t="s">
        <v>26</v>
      </c>
    </row>
    <row r="12" spans="1:10" x14ac:dyDescent="0.35">
      <c r="A12">
        <v>12</v>
      </c>
      <c r="B12">
        <v>1</v>
      </c>
      <c r="C12">
        <v>1</v>
      </c>
      <c r="D12">
        <v>2</v>
      </c>
      <c r="E12" t="s">
        <v>45</v>
      </c>
      <c r="F12" t="s">
        <v>29</v>
      </c>
      <c r="G12">
        <v>1</v>
      </c>
      <c r="H12" t="s">
        <v>10</v>
      </c>
      <c r="I12">
        <v>7</v>
      </c>
      <c r="J12" t="s">
        <v>28</v>
      </c>
    </row>
    <row r="13" spans="1:10" x14ac:dyDescent="0.35">
      <c r="A13">
        <v>13</v>
      </c>
      <c r="B13">
        <v>1</v>
      </c>
      <c r="C13">
        <v>1</v>
      </c>
      <c r="D13">
        <v>2</v>
      </c>
      <c r="E13" t="s">
        <v>45</v>
      </c>
      <c r="F13" t="s">
        <v>29</v>
      </c>
      <c r="G13">
        <v>0</v>
      </c>
      <c r="H13" t="s">
        <v>7</v>
      </c>
      <c r="I13">
        <v>7</v>
      </c>
      <c r="J13" t="s">
        <v>28</v>
      </c>
    </row>
    <row r="14" spans="1:10" x14ac:dyDescent="0.35">
      <c r="A14">
        <v>15</v>
      </c>
      <c r="B14">
        <v>1</v>
      </c>
      <c r="C14">
        <v>1</v>
      </c>
      <c r="D14">
        <v>1</v>
      </c>
      <c r="E14" t="s">
        <v>44</v>
      </c>
      <c r="F14" t="s">
        <v>21</v>
      </c>
      <c r="G14">
        <v>1</v>
      </c>
      <c r="H14" t="s">
        <v>8</v>
      </c>
      <c r="I14">
        <v>12</v>
      </c>
      <c r="J14" t="s">
        <v>36</v>
      </c>
    </row>
    <row r="15" spans="1:10" x14ac:dyDescent="0.35">
      <c r="A15">
        <v>16</v>
      </c>
      <c r="B15">
        <v>1</v>
      </c>
      <c r="C15">
        <v>1</v>
      </c>
      <c r="D15">
        <v>1</v>
      </c>
      <c r="E15" t="s">
        <v>44</v>
      </c>
      <c r="F15" t="s">
        <v>21</v>
      </c>
      <c r="G15">
        <v>0</v>
      </c>
      <c r="H15" t="s">
        <v>9</v>
      </c>
      <c r="I15">
        <v>12</v>
      </c>
      <c r="J15" t="s">
        <v>36</v>
      </c>
    </row>
    <row r="16" spans="1:10" x14ac:dyDescent="0.35">
      <c r="A16">
        <v>17</v>
      </c>
      <c r="B16">
        <v>1</v>
      </c>
      <c r="C16">
        <v>1</v>
      </c>
      <c r="D16">
        <v>1</v>
      </c>
      <c r="E16" t="s">
        <v>44</v>
      </c>
      <c r="F16" t="s">
        <v>21</v>
      </c>
      <c r="G16">
        <v>1</v>
      </c>
      <c r="H16" t="s">
        <v>8</v>
      </c>
      <c r="I16">
        <v>13</v>
      </c>
      <c r="J16" t="s">
        <v>37</v>
      </c>
    </row>
    <row r="17" spans="1:10" x14ac:dyDescent="0.35">
      <c r="A17">
        <v>18</v>
      </c>
      <c r="B17">
        <v>1</v>
      </c>
      <c r="C17">
        <v>1</v>
      </c>
      <c r="D17">
        <v>1</v>
      </c>
      <c r="E17" t="s">
        <v>44</v>
      </c>
      <c r="F17" t="s">
        <v>21</v>
      </c>
      <c r="G17">
        <v>0</v>
      </c>
      <c r="H17" t="s">
        <v>9</v>
      </c>
      <c r="I17">
        <v>13</v>
      </c>
      <c r="J17" t="s">
        <v>37</v>
      </c>
    </row>
    <row r="18" spans="1:10" x14ac:dyDescent="0.35">
      <c r="A18">
        <v>19</v>
      </c>
      <c r="B18">
        <v>1</v>
      </c>
      <c r="C18">
        <v>1</v>
      </c>
      <c r="D18">
        <v>1</v>
      </c>
      <c r="E18" t="s">
        <v>44</v>
      </c>
      <c r="F18" t="s">
        <v>39</v>
      </c>
      <c r="G18">
        <v>1</v>
      </c>
      <c r="H18" t="s">
        <v>11</v>
      </c>
      <c r="I18">
        <v>14</v>
      </c>
      <c r="J18" t="s">
        <v>38</v>
      </c>
    </row>
    <row r="19" spans="1:10" x14ac:dyDescent="0.35">
      <c r="A19">
        <v>20</v>
      </c>
      <c r="B19">
        <v>1</v>
      </c>
      <c r="C19">
        <v>1</v>
      </c>
      <c r="D19">
        <v>1</v>
      </c>
      <c r="E19" t="s">
        <v>44</v>
      </c>
      <c r="F19" t="s">
        <v>39</v>
      </c>
      <c r="G19">
        <v>0</v>
      </c>
      <c r="H19" t="s">
        <v>12</v>
      </c>
      <c r="I19">
        <v>14</v>
      </c>
      <c r="J19" t="s">
        <v>38</v>
      </c>
    </row>
    <row r="20" spans="1:10" x14ac:dyDescent="0.35">
      <c r="A20">
        <v>21</v>
      </c>
      <c r="B20">
        <v>1</v>
      </c>
      <c r="C20">
        <v>1</v>
      </c>
      <c r="D20">
        <v>1</v>
      </c>
      <c r="E20" t="s">
        <v>44</v>
      </c>
      <c r="F20" t="s">
        <v>21</v>
      </c>
      <c r="G20">
        <v>1</v>
      </c>
      <c r="H20" t="s">
        <v>8</v>
      </c>
      <c r="I20">
        <v>15</v>
      </c>
      <c r="J20" t="s">
        <v>40</v>
      </c>
    </row>
    <row r="21" spans="1:10" x14ac:dyDescent="0.35">
      <c r="A21">
        <v>22</v>
      </c>
      <c r="B21">
        <v>1</v>
      </c>
      <c r="C21">
        <v>1</v>
      </c>
      <c r="D21">
        <v>1</v>
      </c>
      <c r="E21" t="s">
        <v>44</v>
      </c>
      <c r="F21" t="s">
        <v>21</v>
      </c>
      <c r="G21">
        <v>0</v>
      </c>
      <c r="H21" t="s">
        <v>9</v>
      </c>
      <c r="I21">
        <v>15</v>
      </c>
      <c r="J21" t="s">
        <v>40</v>
      </c>
    </row>
    <row r="22" spans="1:10" x14ac:dyDescent="0.35">
      <c r="A22">
        <v>23</v>
      </c>
      <c r="B22">
        <v>1</v>
      </c>
      <c r="C22">
        <v>1</v>
      </c>
      <c r="D22">
        <v>1</v>
      </c>
      <c r="E22" t="s">
        <v>44</v>
      </c>
      <c r="F22" t="s">
        <v>21</v>
      </c>
      <c r="G22">
        <v>1</v>
      </c>
      <c r="H22" t="s">
        <v>8</v>
      </c>
      <c r="I22">
        <v>16</v>
      </c>
      <c r="J22" t="s">
        <v>41</v>
      </c>
    </row>
    <row r="23" spans="1:10" x14ac:dyDescent="0.35">
      <c r="A23">
        <v>24</v>
      </c>
      <c r="B23">
        <v>1</v>
      </c>
      <c r="C23">
        <v>1</v>
      </c>
      <c r="D23">
        <v>1</v>
      </c>
      <c r="E23" t="s">
        <v>44</v>
      </c>
      <c r="F23" t="s">
        <v>21</v>
      </c>
      <c r="G23">
        <v>0</v>
      </c>
      <c r="H23" t="s">
        <v>9</v>
      </c>
      <c r="I23">
        <v>16</v>
      </c>
      <c r="J23"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F3D6-8BBB-482B-A7E9-E6A981388C44}">
  <dimension ref="A1:G23"/>
  <sheetViews>
    <sheetView workbookViewId="0">
      <selection sqref="A1:G1"/>
    </sheetView>
  </sheetViews>
  <sheetFormatPr defaultRowHeight="14.5" x14ac:dyDescent="0.35"/>
  <cols>
    <col min="1" max="1" width="14.453125" bestFit="1" customWidth="1"/>
    <col min="2" max="2" width="8.26953125" bestFit="1" customWidth="1"/>
    <col min="3" max="3" width="12" bestFit="1" customWidth="1"/>
    <col min="4" max="4" width="15.54296875" bestFit="1" customWidth="1"/>
    <col min="5" max="5" width="26.54296875" customWidth="1"/>
    <col min="6" max="6" width="21.54296875" customWidth="1"/>
    <col min="7" max="7" width="24.1796875" bestFit="1" customWidth="1"/>
  </cols>
  <sheetData>
    <row r="1" spans="1:7" x14ac:dyDescent="0.35">
      <c r="A1" s="2" t="s">
        <v>49</v>
      </c>
      <c r="B1" s="2" t="s">
        <v>0</v>
      </c>
      <c r="C1" s="2" t="s">
        <v>53</v>
      </c>
      <c r="D1" s="2" t="s">
        <v>52</v>
      </c>
      <c r="E1" s="2" t="s">
        <v>15</v>
      </c>
      <c r="F1" s="2" t="s">
        <v>13</v>
      </c>
      <c r="G1" s="2" t="s">
        <v>75</v>
      </c>
    </row>
    <row r="2" spans="1:7" x14ac:dyDescent="0.35">
      <c r="A2">
        <v>1</v>
      </c>
      <c r="B2">
        <v>1</v>
      </c>
      <c r="C2">
        <v>1</v>
      </c>
      <c r="D2" t="s">
        <v>50</v>
      </c>
      <c r="E2" t="s">
        <v>18</v>
      </c>
      <c r="F2">
        <v>1</v>
      </c>
      <c r="G2">
        <v>0</v>
      </c>
    </row>
    <row r="3" spans="1:7" x14ac:dyDescent="0.35">
      <c r="A3">
        <v>2</v>
      </c>
      <c r="B3">
        <v>1</v>
      </c>
      <c r="C3">
        <v>1</v>
      </c>
      <c r="D3" t="s">
        <v>50</v>
      </c>
      <c r="E3" t="s">
        <v>18</v>
      </c>
      <c r="F3">
        <v>1</v>
      </c>
      <c r="G3">
        <v>1</v>
      </c>
    </row>
    <row r="4" spans="1:7" x14ac:dyDescent="0.35">
      <c r="A4">
        <v>3</v>
      </c>
      <c r="B4">
        <v>1</v>
      </c>
      <c r="C4">
        <v>1</v>
      </c>
      <c r="D4" t="s">
        <v>50</v>
      </c>
      <c r="E4" t="s">
        <v>20</v>
      </c>
      <c r="F4">
        <v>2</v>
      </c>
      <c r="G4">
        <v>0</v>
      </c>
    </row>
    <row r="5" spans="1:7" x14ac:dyDescent="0.35">
      <c r="A5">
        <v>4</v>
      </c>
      <c r="B5">
        <v>1</v>
      </c>
      <c r="C5">
        <v>1</v>
      </c>
      <c r="D5" t="s">
        <v>50</v>
      </c>
      <c r="E5" t="s">
        <v>20</v>
      </c>
      <c r="F5">
        <v>2</v>
      </c>
      <c r="G5">
        <v>0</v>
      </c>
    </row>
    <row r="6" spans="1:7" x14ac:dyDescent="0.35">
      <c r="A6">
        <v>5</v>
      </c>
      <c r="B6">
        <v>1</v>
      </c>
      <c r="C6">
        <v>1</v>
      </c>
      <c r="D6" t="s">
        <v>50</v>
      </c>
      <c r="E6" t="s">
        <v>3</v>
      </c>
      <c r="F6">
        <v>4</v>
      </c>
      <c r="G6">
        <v>1</v>
      </c>
    </row>
    <row r="7" spans="1:7" x14ac:dyDescent="0.35">
      <c r="A7">
        <v>6</v>
      </c>
      <c r="B7">
        <v>1</v>
      </c>
      <c r="C7">
        <v>1</v>
      </c>
      <c r="D7" t="s">
        <v>50</v>
      </c>
      <c r="E7" t="s">
        <v>3</v>
      </c>
      <c r="F7">
        <v>4</v>
      </c>
      <c r="G7">
        <v>0</v>
      </c>
    </row>
    <row r="8" spans="1:7" x14ac:dyDescent="0.35">
      <c r="A8">
        <v>7</v>
      </c>
      <c r="B8">
        <v>1</v>
      </c>
      <c r="C8">
        <v>1</v>
      </c>
      <c r="D8" t="s">
        <v>50</v>
      </c>
      <c r="E8" t="s">
        <v>24</v>
      </c>
      <c r="F8">
        <v>5</v>
      </c>
      <c r="G8">
        <v>1</v>
      </c>
    </row>
    <row r="9" spans="1:7" x14ac:dyDescent="0.35">
      <c r="A9">
        <v>8</v>
      </c>
      <c r="B9">
        <v>1</v>
      </c>
      <c r="C9">
        <v>1</v>
      </c>
      <c r="D9" t="s">
        <v>50</v>
      </c>
      <c r="E9" t="s">
        <v>24</v>
      </c>
      <c r="F9">
        <v>5</v>
      </c>
      <c r="G9">
        <v>0</v>
      </c>
    </row>
    <row r="10" spans="1:7" x14ac:dyDescent="0.35">
      <c r="A10">
        <v>10</v>
      </c>
      <c r="B10">
        <v>1</v>
      </c>
      <c r="C10">
        <v>1</v>
      </c>
      <c r="D10" t="s">
        <v>50</v>
      </c>
      <c r="E10" t="s">
        <v>26</v>
      </c>
      <c r="F10">
        <v>6</v>
      </c>
      <c r="G10">
        <v>1</v>
      </c>
    </row>
    <row r="11" spans="1:7" x14ac:dyDescent="0.35">
      <c r="A11">
        <v>11</v>
      </c>
      <c r="B11">
        <v>1</v>
      </c>
      <c r="C11">
        <v>1</v>
      </c>
      <c r="D11" t="s">
        <v>50</v>
      </c>
      <c r="E11" t="s">
        <v>26</v>
      </c>
      <c r="F11">
        <v>6</v>
      </c>
      <c r="G11">
        <v>0</v>
      </c>
    </row>
    <row r="12" spans="1:7" x14ac:dyDescent="0.35">
      <c r="A12">
        <v>12</v>
      </c>
      <c r="B12">
        <v>1</v>
      </c>
      <c r="C12">
        <v>1</v>
      </c>
      <c r="D12" t="s">
        <v>50</v>
      </c>
      <c r="E12" t="s">
        <v>28</v>
      </c>
      <c r="F12">
        <v>7</v>
      </c>
      <c r="G12">
        <v>1</v>
      </c>
    </row>
    <row r="13" spans="1:7" x14ac:dyDescent="0.35">
      <c r="A13">
        <v>13</v>
      </c>
      <c r="B13">
        <v>1</v>
      </c>
      <c r="C13">
        <v>1</v>
      </c>
      <c r="D13" t="s">
        <v>50</v>
      </c>
      <c r="E13" t="s">
        <v>28</v>
      </c>
      <c r="F13">
        <v>7</v>
      </c>
      <c r="G13">
        <v>0</v>
      </c>
    </row>
    <row r="14" spans="1:7" x14ac:dyDescent="0.35">
      <c r="A14">
        <v>15</v>
      </c>
      <c r="B14">
        <v>1</v>
      </c>
      <c r="C14">
        <v>1</v>
      </c>
      <c r="D14" t="s">
        <v>50</v>
      </c>
      <c r="E14" t="s">
        <v>36</v>
      </c>
      <c r="F14">
        <v>12</v>
      </c>
      <c r="G14">
        <v>1</v>
      </c>
    </row>
    <row r="15" spans="1:7" x14ac:dyDescent="0.35">
      <c r="A15">
        <v>16</v>
      </c>
      <c r="B15">
        <v>1</v>
      </c>
      <c r="C15">
        <v>1</v>
      </c>
      <c r="D15" t="s">
        <v>50</v>
      </c>
      <c r="E15" t="s">
        <v>36</v>
      </c>
      <c r="F15">
        <v>12</v>
      </c>
      <c r="G15">
        <v>0</v>
      </c>
    </row>
    <row r="16" spans="1:7" x14ac:dyDescent="0.35">
      <c r="A16">
        <v>17</v>
      </c>
      <c r="B16">
        <v>1</v>
      </c>
      <c r="C16">
        <v>1</v>
      </c>
      <c r="D16" t="s">
        <v>50</v>
      </c>
      <c r="E16" t="s">
        <v>37</v>
      </c>
      <c r="F16">
        <v>13</v>
      </c>
      <c r="G16">
        <v>1</v>
      </c>
    </row>
    <row r="17" spans="1:7" x14ac:dyDescent="0.35">
      <c r="A17">
        <v>18</v>
      </c>
      <c r="B17">
        <v>1</v>
      </c>
      <c r="C17">
        <v>1</v>
      </c>
      <c r="D17" t="s">
        <v>50</v>
      </c>
      <c r="E17" t="s">
        <v>37</v>
      </c>
      <c r="F17">
        <v>13</v>
      </c>
      <c r="G17">
        <v>0</v>
      </c>
    </row>
    <row r="18" spans="1:7" x14ac:dyDescent="0.35">
      <c r="A18">
        <v>19</v>
      </c>
      <c r="B18">
        <v>1</v>
      </c>
      <c r="C18">
        <v>1</v>
      </c>
      <c r="D18" t="s">
        <v>50</v>
      </c>
      <c r="E18" t="s">
        <v>38</v>
      </c>
      <c r="F18">
        <v>14</v>
      </c>
      <c r="G18">
        <v>1</v>
      </c>
    </row>
    <row r="19" spans="1:7" x14ac:dyDescent="0.35">
      <c r="A19">
        <v>20</v>
      </c>
      <c r="B19">
        <v>1</v>
      </c>
      <c r="C19">
        <v>1</v>
      </c>
      <c r="D19" t="s">
        <v>50</v>
      </c>
      <c r="E19" t="s">
        <v>38</v>
      </c>
      <c r="F19">
        <v>14</v>
      </c>
      <c r="G19">
        <v>0</v>
      </c>
    </row>
    <row r="20" spans="1:7" x14ac:dyDescent="0.35">
      <c r="A20">
        <v>21</v>
      </c>
      <c r="B20">
        <v>1</v>
      </c>
      <c r="C20">
        <v>1</v>
      </c>
      <c r="D20" t="s">
        <v>50</v>
      </c>
      <c r="E20" t="s">
        <v>40</v>
      </c>
      <c r="F20">
        <v>15</v>
      </c>
      <c r="G20">
        <v>1</v>
      </c>
    </row>
    <row r="21" spans="1:7" x14ac:dyDescent="0.35">
      <c r="A21">
        <v>22</v>
      </c>
      <c r="B21">
        <v>1</v>
      </c>
      <c r="C21">
        <v>1</v>
      </c>
      <c r="D21" t="s">
        <v>50</v>
      </c>
      <c r="E21" t="s">
        <v>40</v>
      </c>
      <c r="F21">
        <v>15</v>
      </c>
      <c r="G21">
        <v>0</v>
      </c>
    </row>
    <row r="22" spans="1:7" x14ac:dyDescent="0.35">
      <c r="A22">
        <v>23</v>
      </c>
      <c r="B22">
        <v>1</v>
      </c>
      <c r="C22">
        <v>1</v>
      </c>
      <c r="D22" t="s">
        <v>50</v>
      </c>
      <c r="E22" t="s">
        <v>41</v>
      </c>
      <c r="F22">
        <v>16</v>
      </c>
      <c r="G22">
        <v>1</v>
      </c>
    </row>
    <row r="23" spans="1:7" x14ac:dyDescent="0.35">
      <c r="A23">
        <v>24</v>
      </c>
      <c r="B23">
        <v>1</v>
      </c>
      <c r="C23">
        <v>1</v>
      </c>
      <c r="D23" t="s">
        <v>50</v>
      </c>
      <c r="E23" t="s">
        <v>41</v>
      </c>
      <c r="F23">
        <v>16</v>
      </c>
      <c r="G2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435A-2873-4C04-A45F-0B9EB094C002}">
  <dimension ref="A1:J23"/>
  <sheetViews>
    <sheetView topLeftCell="C1" workbookViewId="0">
      <selection sqref="A1:J1"/>
    </sheetView>
  </sheetViews>
  <sheetFormatPr defaultRowHeight="14.5" x14ac:dyDescent="0.35"/>
  <cols>
    <col min="1" max="1" width="14.453125" bestFit="1" customWidth="1"/>
    <col min="2" max="2" width="8.26953125" bestFit="1" customWidth="1"/>
    <col min="3" max="3" width="12" bestFit="1" customWidth="1"/>
    <col min="4" max="4" width="15.54296875" bestFit="1" customWidth="1"/>
    <col min="5" max="5" width="21.54296875" customWidth="1"/>
    <col min="6" max="6" width="26.54296875" customWidth="1"/>
    <col min="7" max="7" width="12.6328125" bestFit="1" customWidth="1"/>
    <col min="8" max="8" width="17.453125" bestFit="1" customWidth="1"/>
    <col min="9" max="9" width="25.1796875" bestFit="1" customWidth="1"/>
    <col min="10" max="10" width="27.36328125" bestFit="1" customWidth="1"/>
  </cols>
  <sheetData>
    <row r="1" spans="1:10" x14ac:dyDescent="0.35">
      <c r="A1" s="2" t="s">
        <v>49</v>
      </c>
      <c r="B1" s="2" t="s">
        <v>0</v>
      </c>
      <c r="C1" s="2" t="s">
        <v>53</v>
      </c>
      <c r="D1" s="2" t="s">
        <v>52</v>
      </c>
      <c r="E1" s="2" t="s">
        <v>13</v>
      </c>
      <c r="F1" s="2" t="s">
        <v>15</v>
      </c>
      <c r="G1" s="2" t="s">
        <v>16</v>
      </c>
      <c r="H1" s="2" t="s">
        <v>1</v>
      </c>
      <c r="I1" s="2" t="s">
        <v>75</v>
      </c>
      <c r="J1" s="2" t="s">
        <v>74</v>
      </c>
    </row>
    <row r="2" spans="1:10" x14ac:dyDescent="0.35">
      <c r="A2">
        <v>1</v>
      </c>
      <c r="B2">
        <v>1</v>
      </c>
      <c r="C2">
        <v>1</v>
      </c>
      <c r="D2" t="s">
        <v>50</v>
      </c>
      <c r="E2">
        <v>1</v>
      </c>
      <c r="F2" t="s">
        <v>18</v>
      </c>
      <c r="G2">
        <v>1</v>
      </c>
      <c r="H2" t="s">
        <v>2</v>
      </c>
      <c r="I2">
        <v>0</v>
      </c>
      <c r="J2" t="s">
        <v>19</v>
      </c>
    </row>
    <row r="3" spans="1:10" x14ac:dyDescent="0.35">
      <c r="A3">
        <v>2</v>
      </c>
      <c r="B3">
        <v>1</v>
      </c>
      <c r="C3">
        <v>1</v>
      </c>
      <c r="D3" t="s">
        <v>50</v>
      </c>
      <c r="E3">
        <v>1</v>
      </c>
      <c r="F3" t="s">
        <v>18</v>
      </c>
      <c r="G3">
        <v>1</v>
      </c>
      <c r="H3" t="s">
        <v>3</v>
      </c>
      <c r="I3">
        <v>1</v>
      </c>
      <c r="J3" t="s">
        <v>19</v>
      </c>
    </row>
    <row r="4" spans="1:10" x14ac:dyDescent="0.35">
      <c r="A4">
        <v>3</v>
      </c>
      <c r="B4">
        <v>1</v>
      </c>
      <c r="C4">
        <v>1</v>
      </c>
      <c r="D4" t="s">
        <v>50</v>
      </c>
      <c r="E4">
        <v>2</v>
      </c>
      <c r="F4" t="s">
        <v>20</v>
      </c>
      <c r="G4">
        <v>1</v>
      </c>
      <c r="H4" t="s">
        <v>4</v>
      </c>
      <c r="I4">
        <v>0</v>
      </c>
      <c r="J4" t="s">
        <v>21</v>
      </c>
    </row>
    <row r="5" spans="1:10" x14ac:dyDescent="0.35">
      <c r="A5">
        <v>4</v>
      </c>
      <c r="B5">
        <v>1</v>
      </c>
      <c r="C5">
        <v>1</v>
      </c>
      <c r="D5" t="s">
        <v>50</v>
      </c>
      <c r="E5">
        <v>2</v>
      </c>
      <c r="F5" t="s">
        <v>20</v>
      </c>
      <c r="G5">
        <v>1</v>
      </c>
      <c r="H5" t="s">
        <v>5</v>
      </c>
      <c r="I5">
        <v>0</v>
      </c>
      <c r="J5" t="s">
        <v>21</v>
      </c>
    </row>
    <row r="6" spans="1:10" x14ac:dyDescent="0.35">
      <c r="A6">
        <v>5</v>
      </c>
      <c r="B6">
        <v>1</v>
      </c>
      <c r="C6">
        <v>1</v>
      </c>
      <c r="D6" t="s">
        <v>50</v>
      </c>
      <c r="E6">
        <v>4</v>
      </c>
      <c r="F6" t="s">
        <v>3</v>
      </c>
      <c r="G6">
        <v>1</v>
      </c>
      <c r="H6" t="s">
        <v>6</v>
      </c>
      <c r="I6">
        <v>1</v>
      </c>
      <c r="J6" t="s">
        <v>23</v>
      </c>
    </row>
    <row r="7" spans="1:10" x14ac:dyDescent="0.35">
      <c r="A7">
        <v>6</v>
      </c>
      <c r="B7">
        <v>1</v>
      </c>
      <c r="C7">
        <v>1</v>
      </c>
      <c r="D7" t="s">
        <v>50</v>
      </c>
      <c r="E7">
        <v>4</v>
      </c>
      <c r="F7" t="s">
        <v>3</v>
      </c>
      <c r="G7">
        <v>1</v>
      </c>
      <c r="H7" t="s">
        <v>7</v>
      </c>
      <c r="I7">
        <v>0</v>
      </c>
      <c r="J7" t="s">
        <v>23</v>
      </c>
    </row>
    <row r="8" spans="1:10" x14ac:dyDescent="0.35">
      <c r="A8">
        <v>7</v>
      </c>
      <c r="B8">
        <v>1</v>
      </c>
      <c r="C8">
        <v>1</v>
      </c>
      <c r="D8" t="s">
        <v>50</v>
      </c>
      <c r="E8">
        <v>5</v>
      </c>
      <c r="F8" t="s">
        <v>24</v>
      </c>
      <c r="G8">
        <v>2</v>
      </c>
      <c r="H8" t="s">
        <v>8</v>
      </c>
      <c r="I8">
        <v>1</v>
      </c>
      <c r="J8" t="s">
        <v>25</v>
      </c>
    </row>
    <row r="9" spans="1:10" x14ac:dyDescent="0.35">
      <c r="A9">
        <v>8</v>
      </c>
      <c r="B9">
        <v>1</v>
      </c>
      <c r="C9">
        <v>1</v>
      </c>
      <c r="D9" t="s">
        <v>50</v>
      </c>
      <c r="E9">
        <v>5</v>
      </c>
      <c r="F9" t="s">
        <v>24</v>
      </c>
      <c r="G9">
        <v>2</v>
      </c>
      <c r="H9" t="s">
        <v>9</v>
      </c>
      <c r="I9">
        <v>0</v>
      </c>
      <c r="J9" t="s">
        <v>25</v>
      </c>
    </row>
    <row r="10" spans="1:10" x14ac:dyDescent="0.35">
      <c r="A10">
        <v>10</v>
      </c>
      <c r="B10">
        <v>1</v>
      </c>
      <c r="C10">
        <v>1</v>
      </c>
      <c r="D10" t="s">
        <v>50</v>
      </c>
      <c r="E10">
        <v>6</v>
      </c>
      <c r="F10" t="s">
        <v>26</v>
      </c>
      <c r="G10">
        <v>2</v>
      </c>
      <c r="H10" t="s">
        <v>10</v>
      </c>
      <c r="I10">
        <v>1</v>
      </c>
      <c r="J10" t="s">
        <v>27</v>
      </c>
    </row>
    <row r="11" spans="1:10" x14ac:dyDescent="0.35">
      <c r="A11">
        <v>11</v>
      </c>
      <c r="B11">
        <v>1</v>
      </c>
      <c r="C11">
        <v>1</v>
      </c>
      <c r="D11" t="s">
        <v>50</v>
      </c>
      <c r="E11">
        <v>6</v>
      </c>
      <c r="F11" t="s">
        <v>26</v>
      </c>
      <c r="G11">
        <v>2</v>
      </c>
      <c r="H11" t="s">
        <v>7</v>
      </c>
      <c r="I11">
        <v>0</v>
      </c>
      <c r="J11" t="s">
        <v>27</v>
      </c>
    </row>
    <row r="12" spans="1:10" x14ac:dyDescent="0.35">
      <c r="A12">
        <v>12</v>
      </c>
      <c r="B12">
        <v>1</v>
      </c>
      <c r="C12">
        <v>1</v>
      </c>
      <c r="D12" t="s">
        <v>50</v>
      </c>
      <c r="E12">
        <v>7</v>
      </c>
      <c r="F12" t="s">
        <v>28</v>
      </c>
      <c r="G12">
        <v>2</v>
      </c>
      <c r="H12" t="s">
        <v>10</v>
      </c>
      <c r="I12">
        <v>1</v>
      </c>
      <c r="J12" t="s">
        <v>29</v>
      </c>
    </row>
    <row r="13" spans="1:10" x14ac:dyDescent="0.35">
      <c r="A13">
        <v>13</v>
      </c>
      <c r="B13">
        <v>1</v>
      </c>
      <c r="C13">
        <v>1</v>
      </c>
      <c r="D13" t="s">
        <v>50</v>
      </c>
      <c r="E13">
        <v>7</v>
      </c>
      <c r="F13" t="s">
        <v>28</v>
      </c>
      <c r="G13">
        <v>2</v>
      </c>
      <c r="H13" t="s">
        <v>7</v>
      </c>
      <c r="I13">
        <v>0</v>
      </c>
      <c r="J13" t="s">
        <v>29</v>
      </c>
    </row>
    <row r="14" spans="1:10" x14ac:dyDescent="0.35">
      <c r="A14">
        <v>15</v>
      </c>
      <c r="B14">
        <v>1</v>
      </c>
      <c r="C14">
        <v>1</v>
      </c>
      <c r="D14" t="s">
        <v>50</v>
      </c>
      <c r="E14">
        <v>12</v>
      </c>
      <c r="F14" t="s">
        <v>36</v>
      </c>
      <c r="G14">
        <v>1</v>
      </c>
      <c r="H14" t="s">
        <v>8</v>
      </c>
      <c r="I14">
        <v>1</v>
      </c>
      <c r="J14" t="s">
        <v>21</v>
      </c>
    </row>
    <row r="15" spans="1:10" x14ac:dyDescent="0.35">
      <c r="A15">
        <v>16</v>
      </c>
      <c r="B15">
        <v>1</v>
      </c>
      <c r="C15">
        <v>1</v>
      </c>
      <c r="D15" t="s">
        <v>50</v>
      </c>
      <c r="E15">
        <v>12</v>
      </c>
      <c r="F15" t="s">
        <v>36</v>
      </c>
      <c r="G15">
        <v>1</v>
      </c>
      <c r="H15" t="s">
        <v>9</v>
      </c>
      <c r="I15">
        <v>0</v>
      </c>
      <c r="J15" t="s">
        <v>21</v>
      </c>
    </row>
    <row r="16" spans="1:10" x14ac:dyDescent="0.35">
      <c r="A16">
        <v>17</v>
      </c>
      <c r="B16">
        <v>1</v>
      </c>
      <c r="C16">
        <v>1</v>
      </c>
      <c r="D16" t="s">
        <v>50</v>
      </c>
      <c r="E16">
        <v>13</v>
      </c>
      <c r="F16" t="s">
        <v>37</v>
      </c>
      <c r="G16">
        <v>1</v>
      </c>
      <c r="H16" t="s">
        <v>8</v>
      </c>
      <c r="I16">
        <v>1</v>
      </c>
      <c r="J16" t="s">
        <v>21</v>
      </c>
    </row>
    <row r="17" spans="1:10" x14ac:dyDescent="0.35">
      <c r="A17">
        <v>18</v>
      </c>
      <c r="B17">
        <v>1</v>
      </c>
      <c r="C17">
        <v>1</v>
      </c>
      <c r="D17" t="s">
        <v>50</v>
      </c>
      <c r="E17">
        <v>13</v>
      </c>
      <c r="F17" t="s">
        <v>37</v>
      </c>
      <c r="G17">
        <v>1</v>
      </c>
      <c r="H17" t="s">
        <v>9</v>
      </c>
      <c r="I17">
        <v>0</v>
      </c>
      <c r="J17" t="s">
        <v>21</v>
      </c>
    </row>
    <row r="18" spans="1:10" x14ac:dyDescent="0.35">
      <c r="A18">
        <v>19</v>
      </c>
      <c r="B18">
        <v>1</v>
      </c>
      <c r="C18">
        <v>1</v>
      </c>
      <c r="D18" t="s">
        <v>50</v>
      </c>
      <c r="E18">
        <v>14</v>
      </c>
      <c r="F18" t="s">
        <v>38</v>
      </c>
      <c r="G18">
        <v>1</v>
      </c>
      <c r="H18" t="s">
        <v>11</v>
      </c>
      <c r="I18">
        <v>1</v>
      </c>
      <c r="J18" t="s">
        <v>39</v>
      </c>
    </row>
    <row r="19" spans="1:10" x14ac:dyDescent="0.35">
      <c r="A19">
        <v>20</v>
      </c>
      <c r="B19">
        <v>1</v>
      </c>
      <c r="C19">
        <v>1</v>
      </c>
      <c r="D19" t="s">
        <v>50</v>
      </c>
      <c r="E19">
        <v>14</v>
      </c>
      <c r="F19" t="s">
        <v>38</v>
      </c>
      <c r="G19">
        <v>1</v>
      </c>
      <c r="H19" t="s">
        <v>12</v>
      </c>
      <c r="I19">
        <v>0</v>
      </c>
      <c r="J19" t="s">
        <v>39</v>
      </c>
    </row>
    <row r="20" spans="1:10" x14ac:dyDescent="0.35">
      <c r="A20">
        <v>21</v>
      </c>
      <c r="B20">
        <v>1</v>
      </c>
      <c r="C20">
        <v>1</v>
      </c>
      <c r="D20" t="s">
        <v>50</v>
      </c>
      <c r="E20">
        <v>15</v>
      </c>
      <c r="F20" t="s">
        <v>40</v>
      </c>
      <c r="G20">
        <v>1</v>
      </c>
      <c r="H20" t="s">
        <v>8</v>
      </c>
      <c r="I20">
        <v>1</v>
      </c>
      <c r="J20" t="s">
        <v>21</v>
      </c>
    </row>
    <row r="21" spans="1:10" x14ac:dyDescent="0.35">
      <c r="A21">
        <v>22</v>
      </c>
      <c r="B21">
        <v>1</v>
      </c>
      <c r="C21">
        <v>1</v>
      </c>
      <c r="D21" t="s">
        <v>50</v>
      </c>
      <c r="E21">
        <v>15</v>
      </c>
      <c r="F21" t="s">
        <v>40</v>
      </c>
      <c r="G21">
        <v>1</v>
      </c>
      <c r="H21" t="s">
        <v>9</v>
      </c>
      <c r="I21">
        <v>0</v>
      </c>
      <c r="J21" t="s">
        <v>21</v>
      </c>
    </row>
    <row r="22" spans="1:10" x14ac:dyDescent="0.35">
      <c r="A22">
        <v>23</v>
      </c>
      <c r="B22">
        <v>1</v>
      </c>
      <c r="C22">
        <v>1</v>
      </c>
      <c r="D22" t="s">
        <v>50</v>
      </c>
      <c r="E22">
        <v>16</v>
      </c>
      <c r="F22" t="s">
        <v>41</v>
      </c>
      <c r="G22">
        <v>1</v>
      </c>
      <c r="H22" t="s">
        <v>8</v>
      </c>
      <c r="I22">
        <v>1</v>
      </c>
      <c r="J22" t="s">
        <v>21</v>
      </c>
    </row>
    <row r="23" spans="1:10" x14ac:dyDescent="0.35">
      <c r="A23">
        <v>24</v>
      </c>
      <c r="B23">
        <v>1</v>
      </c>
      <c r="C23">
        <v>1</v>
      </c>
      <c r="D23" t="s">
        <v>50</v>
      </c>
      <c r="E23">
        <v>16</v>
      </c>
      <c r="F23" t="s">
        <v>41</v>
      </c>
      <c r="G23">
        <v>1</v>
      </c>
      <c r="H23" t="s">
        <v>9</v>
      </c>
      <c r="I23">
        <v>0</v>
      </c>
      <c r="J23"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9B80-349C-450A-9037-EC263D91D03C}">
  <dimension ref="A1:F10"/>
  <sheetViews>
    <sheetView tabSelected="1" zoomScaleNormal="100" workbookViewId="0">
      <selection activeCell="C2" sqref="C2"/>
    </sheetView>
  </sheetViews>
  <sheetFormatPr defaultRowHeight="14.5" x14ac:dyDescent="0.35"/>
  <cols>
    <col min="1" max="2" width="17.08984375" customWidth="1"/>
    <col min="3" max="3" width="37.7265625" customWidth="1"/>
    <col min="4" max="6" width="17.08984375" customWidth="1"/>
  </cols>
  <sheetData>
    <row r="1" spans="1:6" x14ac:dyDescent="0.35">
      <c r="A1" s="4" t="s">
        <v>55</v>
      </c>
      <c r="B1" s="4" t="s">
        <v>56</v>
      </c>
      <c r="C1" s="4" t="s">
        <v>57</v>
      </c>
      <c r="D1" s="4" t="s">
        <v>53</v>
      </c>
      <c r="E1" s="4" t="s">
        <v>52</v>
      </c>
      <c r="F1" s="4" t="s">
        <v>0</v>
      </c>
    </row>
    <row r="2" spans="1:6" x14ac:dyDescent="0.35">
      <c r="A2">
        <v>1</v>
      </c>
      <c r="B2" t="s">
        <v>58</v>
      </c>
      <c r="C2" t="s">
        <v>59</v>
      </c>
      <c r="D2">
        <v>1</v>
      </c>
      <c r="E2" t="s">
        <v>50</v>
      </c>
      <c r="F2">
        <v>1</v>
      </c>
    </row>
    <row r="3" spans="1:6" x14ac:dyDescent="0.35">
      <c r="A3">
        <v>2</v>
      </c>
      <c r="B3" t="s">
        <v>60</v>
      </c>
      <c r="C3" t="s">
        <v>61</v>
      </c>
      <c r="D3">
        <v>1</v>
      </c>
      <c r="E3" t="s">
        <v>50</v>
      </c>
      <c r="F3">
        <v>1</v>
      </c>
    </row>
    <row r="4" spans="1:6" x14ac:dyDescent="0.35">
      <c r="A4">
        <v>3</v>
      </c>
      <c r="B4" t="s">
        <v>58</v>
      </c>
      <c r="C4" t="s">
        <v>62</v>
      </c>
      <c r="D4">
        <v>2</v>
      </c>
      <c r="E4" t="s">
        <v>51</v>
      </c>
      <c r="F4">
        <v>1</v>
      </c>
    </row>
    <row r="5" spans="1:6" x14ac:dyDescent="0.35">
      <c r="A5">
        <v>4</v>
      </c>
      <c r="B5" t="s">
        <v>60</v>
      </c>
      <c r="C5" t="s">
        <v>63</v>
      </c>
      <c r="D5">
        <v>2</v>
      </c>
      <c r="E5" t="s">
        <v>51</v>
      </c>
      <c r="F5">
        <v>1</v>
      </c>
    </row>
    <row r="6" spans="1:6" x14ac:dyDescent="0.35">
      <c r="A6">
        <v>7</v>
      </c>
      <c r="B6" t="s">
        <v>64</v>
      </c>
      <c r="C6" t="s">
        <v>65</v>
      </c>
      <c r="D6">
        <v>1</v>
      </c>
      <c r="E6" t="s">
        <v>50</v>
      </c>
      <c r="F6">
        <v>1</v>
      </c>
    </row>
    <row r="7" spans="1:6" x14ac:dyDescent="0.35">
      <c r="A7">
        <v>11</v>
      </c>
      <c r="B7" t="s">
        <v>66</v>
      </c>
      <c r="C7" t="s">
        <v>67</v>
      </c>
      <c r="D7">
        <v>1</v>
      </c>
      <c r="E7" t="s">
        <v>50</v>
      </c>
      <c r="F7">
        <v>1</v>
      </c>
    </row>
    <row r="8" spans="1:6" x14ac:dyDescent="0.35">
      <c r="A8">
        <v>12</v>
      </c>
      <c r="B8" t="s">
        <v>68</v>
      </c>
      <c r="C8" t="s">
        <v>69</v>
      </c>
      <c r="D8">
        <v>1</v>
      </c>
      <c r="E8" t="s">
        <v>50</v>
      </c>
      <c r="F8">
        <v>1</v>
      </c>
    </row>
    <row r="9" spans="1:6" x14ac:dyDescent="0.35">
      <c r="A9">
        <v>13</v>
      </c>
      <c r="B9" t="s">
        <v>70</v>
      </c>
      <c r="C9" t="s">
        <v>71</v>
      </c>
      <c r="D9">
        <v>1</v>
      </c>
      <c r="E9" t="s">
        <v>50</v>
      </c>
      <c r="F9">
        <v>1</v>
      </c>
    </row>
    <row r="10" spans="1:6" x14ac:dyDescent="0.35">
      <c r="A10">
        <v>17</v>
      </c>
      <c r="B10" t="s">
        <v>72</v>
      </c>
      <c r="C10" t="s">
        <v>73</v>
      </c>
      <c r="D10">
        <v>1</v>
      </c>
      <c r="E10" t="s">
        <v>50</v>
      </c>
      <c r="F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Sheet1 (2)</vt:lpstr>
      <vt:lpstr>merge 1-3</vt:lpstr>
      <vt:lpstr>top arrow</vt:lpstr>
      <vt:lpstr>mid arrow 1</vt:lpstr>
      <vt:lpstr>mid arrow 2</vt:lpstr>
      <vt:lpstr>bottom arrow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Syaziyah Binti Samiri</dc:creator>
  <cp:lastModifiedBy>Siti Syaziyah Binti Samiri</cp:lastModifiedBy>
  <dcterms:created xsi:type="dcterms:W3CDTF">2026-09-30T02:50:08Z</dcterms:created>
  <dcterms:modified xsi:type="dcterms:W3CDTF">2026-10-15T09:14:33Z</dcterms:modified>
</cp:coreProperties>
</file>