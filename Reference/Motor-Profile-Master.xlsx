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tatements" sheetId="1" state="visible" r:id="rId1"/>
    <sheet xmlns:r="http://schemas.openxmlformats.org/officeDocument/2006/relationships" name="MASTER Properties" sheetId="2" state="visible" r:id="rId2"/>
    <sheet xmlns:r="http://schemas.openxmlformats.org/officeDocument/2006/relationships" name="EquipmentType" sheetId="3" state="visible" r:id="rId3"/>
    <sheet xmlns:r="http://schemas.openxmlformats.org/officeDocument/2006/relationships" name="PlcFunction" sheetId="4" state="visible" r:id="rId4"/>
    <sheet xmlns:r="http://schemas.openxmlformats.org/officeDocument/2006/relationships" name="Statement" sheetId="5" state="visible" r:id="rId5"/>
    <sheet xmlns:r="http://schemas.openxmlformats.org/officeDocument/2006/relationships" name="StatementProperty" sheetId="6" state="visible" r:id="rId6"/>
    <sheet xmlns:r="http://schemas.openxmlformats.org/officeDocument/2006/relationships" name="StatementTerm" sheetId="7" state="visible" r:id="rId7"/>
    <sheet xmlns:r="http://schemas.openxmlformats.org/officeDocument/2006/relationships" name="Data Issues"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6">
    <fill>
      <patternFill/>
    </fill>
    <fill>
      <patternFill patternType="gray125"/>
    </fill>
    <fill>
      <patternFill patternType="solid">
        <fgColor rgb="001F3864"/>
      </patternFill>
    </fill>
    <fill>
      <patternFill patternType="solid">
        <fgColor rgb="00FFFF00"/>
      </patternFill>
    </fill>
    <fill>
      <patternFill patternType="solid">
        <fgColor rgb="00FCE4D6"/>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2" fillId="3" borderId="1" applyAlignment="1" pivotButton="0" quotePrefix="0" xfId="0">
      <alignment vertical="top"/>
    </xf>
    <xf numFmtId="0" fontId="3" fillId="0" borderId="2" applyAlignment="1" pivotButton="0" quotePrefix="0" xfId="0">
      <alignment vertical="top"/>
    </xf>
    <xf numFmtId="0" fontId="2" fillId="0" borderId="2" applyAlignment="1" pivotButton="0" quotePrefix="0" xfId="0">
      <alignment vertical="top"/>
    </xf>
    <xf numFmtId="0" fontId="2" fillId="4" borderId="1" applyAlignment="1" pivotButton="0" quotePrefix="0" xfId="0">
      <alignment vertical="top"/>
    </xf>
    <xf numFmtId="0" fontId="3" fillId="5" borderId="1" applyAlignment="1" pivotButton="0" quotePrefix="0" xfId="0">
      <alignment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20" customWidth="1" min="4" max="4"/>
    <col width="100" customWidth="1" min="5" max="5"/>
  </cols>
  <sheetData>
    <row r="1" ht="28" customHeight="1">
      <c r="A1" s="1" t="inlineStr">
        <is>
          <t>StatementId</t>
        </is>
      </c>
      <c r="B1" s="1" t="inlineStr">
        <is>
          <t>EquipmentId</t>
        </is>
      </c>
      <c r="C1" s="1" t="inlineStr">
        <is>
          <t>Equipment</t>
        </is>
      </c>
      <c r="D1" s="1" t="inlineStr">
        <is>
          <t>StatementName</t>
        </is>
      </c>
      <c r="E1" s="1" t="inlineStr">
        <is>
          <t>StatementContent</t>
        </is>
      </c>
    </row>
    <row r="2" ht="46" customHeight="1">
      <c r="A2" s="2" t="n">
        <v>1</v>
      </c>
      <c r="B2" s="2" t="n">
        <v>1</v>
      </c>
      <c r="C2" s="2">
        <f>IFERROR(INDEX(EquipmentType!$B$2:$B$3,MATCH($B2,EquipmentType!$A$2:$A$3,0)),"?")</f>
        <v/>
      </c>
      <c r="D2" s="2" t="inlineStr">
        <is>
          <t>Operation</t>
        </is>
      </c>
      <c r="E2" s="3" t="inlineStr">
        <is>
          <t>When auto run ready or manual run ready and no faults, then will command run.</t>
        </is>
      </c>
    </row>
    <row r="3" ht="46" customHeight="1">
      <c r="A3" s="2" t="n">
        <v>2</v>
      </c>
      <c r="B3" s="2" t="n">
        <v>1</v>
      </c>
      <c r="C3" s="2">
        <f>IFERROR(INDEX(EquipmentType!$B$2:$B$3,MATCH($B3,EquipmentType!$A$2:$A$3,0)),"?")</f>
        <v/>
      </c>
      <c r="D3" s="2" t="inlineStr">
        <is>
          <t>System Handle</t>
        </is>
      </c>
      <c r="E3" s="3" t="inlineStr">
        <is>
          <t>When operation mode in Auto, the Manual Start/Stop position will according with Operation Signal Run/Stop. During PLC Initialize or MCC Trip On, the Manual Operation position will be in Stop. During PLC Initialize, Run Fail Timer's delay time Set to 10 seconds. Operation Signal Run time will be recorded by runtime recorder.</t>
        </is>
      </c>
    </row>
    <row r="4" ht="46" customHeight="1">
      <c r="A4" s="2" t="n">
        <v>3</v>
      </c>
      <c r="B4" s="2" t="n">
        <v>2</v>
      </c>
      <c r="C4" s="2">
        <f>IFERROR(INDEX(EquipmentType!$B$2:$B$3,MATCH($B4,EquipmentType!$A$2:$A$3,0)),"?")</f>
        <v/>
      </c>
      <c r="D4" s="2" t="inlineStr">
        <is>
          <t>Operation</t>
        </is>
      </c>
      <c r="E4" s="3" t="inlineStr">
        <is>
          <t>When Manual Run Fulfilled or Auto Run Fulfilled, without trip Alarm, then PLC command Run. During motor Run, the running time will be recorded by timer recorder</t>
        </is>
      </c>
    </row>
    <row r="5" ht="46" customHeight="1">
      <c r="A5" s="2" t="n">
        <v>4</v>
      </c>
      <c r="B5" s="2" t="n">
        <v>2</v>
      </c>
      <c r="C5" s="2">
        <f>IFERROR(INDEX(EquipmentType!$B$2:$B$3,MATCH($B5,EquipmentType!$A$2:$A$3,0)),"?")</f>
        <v/>
      </c>
      <c r="D5" s="2" t="inlineStr">
        <is>
          <t>System Handle</t>
        </is>
      </c>
      <c r="E5" s="3" t="inlineStr">
        <is>
          <t>When in Auto Mode, Manual Operation position will change and retain according with Input Run Signal. During PLC Initializing or MCC Trip On, the Manual Operation position will be in Stop. During PLC Initializing, Run Fail Alarm Timer Setpoint assigned value 10 seconds. During PLC Initializing, Trip Alarm Timer Setpoint assigned value 3 seconds. Trip Alarm Timer will start counting when have Trip Feedback On. If the Trip Alarm Timer elapsed, Trip Alarm will turn on. Trip Alarm will off and Trip Alarm Timer will be reset when Trip Feedback is off. When Trip Alarm On, Trip Buzzer will turn on and retain. Trip Buzzer only can be reset by</t>
        </is>
      </c>
    </row>
    <row r="6" ht="46" customHeight="1">
      <c r="A6" s="2" t="n">
        <v>7</v>
      </c>
      <c r="B6" s="2" t="n">
        <v>1</v>
      </c>
      <c r="C6" s="2">
        <f>IFERROR(INDEX(EquipmentType!$B$2:$B$3,MATCH($B6,EquipmentType!$A$2:$A$3,0)),"?")</f>
        <v/>
      </c>
      <c r="D6" s="2" t="inlineStr">
        <is>
          <t>Run Failed</t>
        </is>
      </c>
      <c r="E6" s="3" t="inlineStr">
        <is>
          <t>When Operation signal Run not received after run fail timer elapsed, turn on Run Fail alarm, turn on Run Fail Buzzer once. When HMI Acknowledge, turn off Run Fail Buzzer</t>
        </is>
      </c>
    </row>
    <row r="7" ht="46" customHeight="1">
      <c r="A7" s="2" t="n">
        <v>11</v>
      </c>
      <c r="B7" s="2" t="n">
        <v>1</v>
      </c>
      <c r="C7" s="2">
        <f>IFERROR(INDEX(EquipmentType!$B$2:$B$3,MATCH($B7,EquipmentType!$A$2:$A$3,0)),"?")</f>
        <v/>
      </c>
      <c r="D7" s="2" t="inlineStr">
        <is>
          <t>Auto run ready</t>
        </is>
      </c>
      <c r="E7" s="3" t="inlineStr">
        <is>
          <t>When operation mode in Auto and Sequence Auto is fulfilled.</t>
        </is>
      </c>
    </row>
    <row r="8" ht="46" customHeight="1">
      <c r="A8" s="2" t="n">
        <v>12</v>
      </c>
      <c r="B8" s="2" t="n">
        <v>1</v>
      </c>
      <c r="C8" s="2">
        <f>IFERROR(INDEX(EquipmentType!$B$2:$B$3,MATCH($B8,EquipmentType!$A$2:$A$3,0)),"?")</f>
        <v/>
      </c>
      <c r="D8" s="2" t="inlineStr">
        <is>
          <t>Manual run ready</t>
        </is>
      </c>
      <c r="E8" s="3" t="inlineStr">
        <is>
          <t>When operation mode in Manual and manual started</t>
        </is>
      </c>
    </row>
    <row r="9" ht="46" customHeight="1">
      <c r="A9" s="2" t="n">
        <v>13</v>
      </c>
      <c r="B9" s="2" t="n">
        <v>1</v>
      </c>
      <c r="C9" s="2">
        <f>IFERROR(INDEX(EquipmentType!$B$2:$B$3,MATCH($B9,EquipmentType!$A$2:$A$3,0)),"?")</f>
        <v/>
      </c>
      <c r="D9" s="2" t="inlineStr">
        <is>
          <t>Faults</t>
        </is>
      </c>
      <c r="E9" s="3" t="inlineStr">
        <is>
          <t>When trip alarm is on or run fail alarm is on</t>
        </is>
      </c>
    </row>
    <row r="10" ht="46" customHeight="1">
      <c r="A10" s="2" t="n">
        <v>17</v>
      </c>
      <c r="B10" s="2" t="n">
        <v>1</v>
      </c>
      <c r="C10" s="2">
        <f>IFERROR(INDEX(EquipmentType!$B$2:$B$3,MATCH($B10,EquipmentType!$A$2:$A$3,0)),"?")</f>
        <v/>
      </c>
      <c r="D10" s="2" t="inlineStr">
        <is>
          <t>Trip</t>
        </is>
      </c>
      <c r="E10" s="3" t="inlineStr">
        <is>
          <t>When Trip Signal is On, turn on Trip Alarm, turn on Trip Buzzer once. When HMI Acknowledge, turn off Trip Buzzer.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3" customWidth="1" min="3" max="3"/>
    <col width="15" customWidth="1" min="4" max="4"/>
    <col width="16" customWidth="1" min="5" max="5"/>
    <col width="11" customWidth="1" min="6" max="6"/>
    <col width="9" customWidth="1" min="7" max="7"/>
    <col width="14" customWidth="1" min="8" max="8"/>
    <col width="10" customWidth="1" min="9" max="9"/>
    <col width="12" customWidth="1" min="10" max="10"/>
  </cols>
  <sheetData>
    <row r="1" ht="28" customHeight="1">
      <c r="A1" s="1" t="inlineStr">
        <is>
          <t>PropertyId</t>
        </is>
      </c>
      <c r="B1" s="1" t="inlineStr">
        <is>
          <t>PropertyName</t>
        </is>
      </c>
      <c r="C1" s="1" t="inlineStr">
        <is>
          <t>PlcFunctionId</t>
        </is>
      </c>
      <c r="D1" s="1" t="inlineStr">
        <is>
          <t>PlcFunction</t>
        </is>
      </c>
      <c r="E1" s="1" t="inlineStr">
        <is>
          <t>PlcVariable</t>
        </is>
      </c>
      <c r="F1" s="1" t="inlineStr">
        <is>
          <t>DataType</t>
        </is>
      </c>
      <c r="G1" s="1" t="inlineStr">
        <is>
          <t>TermId</t>
        </is>
      </c>
      <c r="H1" s="1" t="inlineStr">
        <is>
          <t>TermName</t>
        </is>
      </c>
      <c r="I1" s="1" t="inlineStr">
        <is>
          <t>PlcValue</t>
        </is>
      </c>
      <c r="J1" s="1" t="inlineStr">
        <is>
          <t>EquipmentId</t>
        </is>
      </c>
    </row>
    <row r="2">
      <c r="A2" s="2" t="n">
        <v>1</v>
      </c>
      <c r="B2" s="2">
        <f>IFERROR(INDEX(StatementProperty!$B$2:$B$17,MATCH($A2,StatementProperty!$A$2:$A$17,0)),"?")</f>
        <v/>
      </c>
      <c r="C2" s="2">
        <f>IFERROR(INDEX(StatementProperty!$C$2:$C$17,MATCH($A2,StatementProperty!$A$2:$A$17,0)),"?")</f>
        <v/>
      </c>
      <c r="D2" s="2">
        <f>IFERROR(INDEX(PlcFunction!$B$2:$B$5,MATCH($C2,PlcFunction!$A$2:$A$5,0)),"?")</f>
        <v/>
      </c>
      <c r="E2" s="2">
        <f>IFERROR(INDEX(StatementProperty!$D$2:$D$17,MATCH($A2,StatementProperty!$A$2:$A$17,0)),"?")</f>
        <v/>
      </c>
      <c r="F2" s="2">
        <f>IFERROR(INDEX(StatementProperty!$E$2:$E$17,MATCH($A2,StatementProperty!$A$2:$A$17,0)),"")</f>
        <v/>
      </c>
      <c r="G2" s="2" t="n">
        <v>1</v>
      </c>
      <c r="H2" s="2" t="inlineStr">
        <is>
          <t>Auto</t>
        </is>
      </c>
      <c r="I2" s="2" t="n">
        <v>0</v>
      </c>
      <c r="J2" s="4" t="n"/>
    </row>
    <row r="3">
      <c r="A3" s="2" t="n">
        <v>1</v>
      </c>
      <c r="B3" s="2">
        <f>IFERROR(INDEX(StatementProperty!$B$2:$B$17,MATCH($A3,StatementProperty!$A$2:$A$17,0)),"?")</f>
        <v/>
      </c>
      <c r="C3" s="2">
        <f>IFERROR(INDEX(StatementProperty!$C$2:$C$17,MATCH($A3,StatementProperty!$A$2:$A$17,0)),"?")</f>
        <v/>
      </c>
      <c r="D3" s="2">
        <f>IFERROR(INDEX(PlcFunction!$B$2:$B$5,MATCH($C3,PlcFunction!$A$2:$A$5,0)),"?")</f>
        <v/>
      </c>
      <c r="E3" s="2">
        <f>IFERROR(INDEX(StatementProperty!$D$2:$D$17,MATCH($A3,StatementProperty!$A$2:$A$17,0)),"?")</f>
        <v/>
      </c>
      <c r="F3" s="2">
        <f>IFERROR(INDEX(StatementProperty!$E$2:$E$17,MATCH($A3,StatementProperty!$A$2:$A$17,0)),"")</f>
        <v/>
      </c>
      <c r="G3" s="2" t="n">
        <v>2</v>
      </c>
      <c r="H3" s="2" t="inlineStr">
        <is>
          <t>Manual</t>
        </is>
      </c>
      <c r="I3" s="2" t="n">
        <v>1</v>
      </c>
      <c r="J3" s="4" t="n"/>
    </row>
    <row r="4">
      <c r="A4" s="2" t="n">
        <v>2</v>
      </c>
      <c r="B4" s="2">
        <f>IFERROR(INDEX(StatementProperty!$B$2:$B$17,MATCH($A4,StatementProperty!$A$2:$A$17,0)),"?")</f>
        <v/>
      </c>
      <c r="C4" s="2">
        <f>IFERROR(INDEX(StatementProperty!$C$2:$C$17,MATCH($A4,StatementProperty!$A$2:$A$17,0)),"?")</f>
        <v/>
      </c>
      <c r="D4" s="2">
        <f>IFERROR(INDEX(PlcFunction!$B$2:$B$5,MATCH($C4,PlcFunction!$A$2:$A$5,0)),"?")</f>
        <v/>
      </c>
      <c r="E4" s="2">
        <f>IFERROR(INDEX(StatementProperty!$D$2:$D$17,MATCH($A4,StatementProperty!$A$2:$A$17,0)),"?")</f>
        <v/>
      </c>
      <c r="F4" s="2">
        <f>IFERROR(INDEX(StatementProperty!$E$2:$E$17,MATCH($A4,StatementProperty!$A$2:$A$17,0)),"")</f>
        <v/>
      </c>
      <c r="G4" s="2" t="n">
        <v>3</v>
      </c>
      <c r="H4" s="2" t="inlineStr">
        <is>
          <t>Trip Off</t>
        </is>
      </c>
      <c r="I4" s="2" t="n">
        <v>0</v>
      </c>
      <c r="J4" s="4" t="n"/>
    </row>
    <row r="5">
      <c r="A5" s="2" t="n">
        <v>2</v>
      </c>
      <c r="B5" s="2">
        <f>IFERROR(INDEX(StatementProperty!$B$2:$B$17,MATCH($A5,StatementProperty!$A$2:$A$17,0)),"?")</f>
        <v/>
      </c>
      <c r="C5" s="2">
        <f>IFERROR(INDEX(StatementProperty!$C$2:$C$17,MATCH($A5,StatementProperty!$A$2:$A$17,0)),"?")</f>
        <v/>
      </c>
      <c r="D5" s="2">
        <f>IFERROR(INDEX(PlcFunction!$B$2:$B$5,MATCH($C5,PlcFunction!$A$2:$A$5,0)),"?")</f>
        <v/>
      </c>
      <c r="E5" s="2">
        <f>IFERROR(INDEX(StatementProperty!$D$2:$D$17,MATCH($A5,StatementProperty!$A$2:$A$17,0)),"?")</f>
        <v/>
      </c>
      <c r="F5" s="2">
        <f>IFERROR(INDEX(StatementProperty!$E$2:$E$17,MATCH($A5,StatementProperty!$A$2:$A$17,0)),"")</f>
        <v/>
      </c>
      <c r="G5" s="2" t="n">
        <v>4</v>
      </c>
      <c r="H5" s="2" t="inlineStr">
        <is>
          <t>Trip On</t>
        </is>
      </c>
      <c r="I5" s="2" t="n">
        <v>0</v>
      </c>
      <c r="J5" s="4" t="n"/>
    </row>
    <row r="6">
      <c r="A6" s="2" t="n">
        <v>3</v>
      </c>
      <c r="B6" s="2">
        <f>IFERROR(INDEX(StatementProperty!$B$2:$B$17,MATCH($A6,StatementProperty!$A$2:$A$17,0)),"?")</f>
        <v/>
      </c>
      <c r="C6" s="2">
        <f>IFERROR(INDEX(StatementProperty!$C$2:$C$17,MATCH($A6,StatementProperty!$A$2:$A$17,0)),"?")</f>
        <v/>
      </c>
      <c r="D6" s="2">
        <f>IFERROR(INDEX(PlcFunction!$B$2:$B$5,MATCH($C6,PlcFunction!$A$2:$A$5,0)),"?")</f>
        <v/>
      </c>
      <c r="E6" s="2">
        <f>IFERROR(INDEX(StatementProperty!$D$2:$D$17,MATCH($A6,StatementProperty!$A$2:$A$17,0)),"?")</f>
        <v/>
      </c>
      <c r="F6" s="2">
        <f>IFERROR(INDEX(StatementProperty!$E$2:$E$17,MATCH($A6,StatementProperty!$A$2:$A$17,0)),"")</f>
        <v/>
      </c>
      <c r="G6" s="2" t="n"/>
      <c r="H6" s="2" t="n"/>
      <c r="I6" s="2" t="n"/>
      <c r="J6" s="4" t="n"/>
    </row>
    <row r="7">
      <c r="A7" s="2" t="n">
        <v>4</v>
      </c>
      <c r="B7" s="2">
        <f>IFERROR(INDEX(StatementProperty!$B$2:$B$17,MATCH($A7,StatementProperty!$A$2:$A$17,0)),"?")</f>
        <v/>
      </c>
      <c r="C7" s="2">
        <f>IFERROR(INDEX(StatementProperty!$C$2:$C$17,MATCH($A7,StatementProperty!$A$2:$A$17,0)),"?")</f>
        <v/>
      </c>
      <c r="D7" s="2">
        <f>IFERROR(INDEX(PlcFunction!$B$2:$B$5,MATCH($C7,PlcFunction!$A$2:$A$5,0)),"?")</f>
        <v/>
      </c>
      <c r="E7" s="2">
        <f>IFERROR(INDEX(StatementProperty!$D$2:$D$17,MATCH($A7,StatementProperty!$A$2:$A$17,0)),"?")</f>
        <v/>
      </c>
      <c r="F7" s="2">
        <f>IFERROR(INDEX(StatementProperty!$E$2:$E$17,MATCH($A7,StatementProperty!$A$2:$A$17,0)),"")</f>
        <v/>
      </c>
      <c r="G7" s="2" t="n">
        <v>5</v>
      </c>
      <c r="H7" s="2" t="inlineStr">
        <is>
          <t>Start</t>
        </is>
      </c>
      <c r="I7" s="2" t="n">
        <v>1</v>
      </c>
      <c r="J7" s="4" t="n"/>
    </row>
    <row r="8">
      <c r="A8" s="2" t="n">
        <v>4</v>
      </c>
      <c r="B8" s="2">
        <f>IFERROR(INDEX(StatementProperty!$B$2:$B$17,MATCH($A8,StatementProperty!$A$2:$A$17,0)),"?")</f>
        <v/>
      </c>
      <c r="C8" s="2">
        <f>IFERROR(INDEX(StatementProperty!$C$2:$C$17,MATCH($A8,StatementProperty!$A$2:$A$17,0)),"?")</f>
        <v/>
      </c>
      <c r="D8" s="2">
        <f>IFERROR(INDEX(PlcFunction!$B$2:$B$5,MATCH($C8,PlcFunction!$A$2:$A$5,0)),"?")</f>
        <v/>
      </c>
      <c r="E8" s="2">
        <f>IFERROR(INDEX(StatementProperty!$D$2:$D$17,MATCH($A8,StatementProperty!$A$2:$A$17,0)),"?")</f>
        <v/>
      </c>
      <c r="F8" s="2">
        <f>IFERROR(INDEX(StatementProperty!$E$2:$E$17,MATCH($A8,StatementProperty!$A$2:$A$17,0)),"")</f>
        <v/>
      </c>
      <c r="G8" s="2" t="n">
        <v>6</v>
      </c>
      <c r="H8" s="2" t="inlineStr">
        <is>
          <t>Stop</t>
        </is>
      </c>
      <c r="I8" s="2" t="n">
        <v>0</v>
      </c>
      <c r="J8" s="4" t="n"/>
    </row>
    <row r="9">
      <c r="A9" s="2" t="n">
        <v>5</v>
      </c>
      <c r="B9" s="2">
        <f>IFERROR(INDEX(StatementProperty!$B$2:$B$17,MATCH($A9,StatementProperty!$A$2:$A$17,0)),"?")</f>
        <v/>
      </c>
      <c r="C9" s="2">
        <f>IFERROR(INDEX(StatementProperty!$C$2:$C$17,MATCH($A9,StatementProperty!$A$2:$A$17,0)),"?")</f>
        <v/>
      </c>
      <c r="D9" s="2">
        <f>IFERROR(INDEX(PlcFunction!$B$2:$B$5,MATCH($C9,PlcFunction!$A$2:$A$5,0)),"?")</f>
        <v/>
      </c>
      <c r="E9" s="2">
        <f>IFERROR(INDEX(StatementProperty!$D$2:$D$17,MATCH($A9,StatementProperty!$A$2:$A$17,0)),"?")</f>
        <v/>
      </c>
      <c r="F9" s="2">
        <f>IFERROR(INDEX(StatementProperty!$E$2:$E$17,MATCH($A9,StatementProperty!$A$2:$A$17,0)),"")</f>
        <v/>
      </c>
      <c r="G9" s="2" t="n">
        <v>7</v>
      </c>
      <c r="H9" s="2" t="inlineStr">
        <is>
          <t>On</t>
        </is>
      </c>
      <c r="I9" s="2" t="n"/>
      <c r="J9" s="4" t="n"/>
    </row>
    <row r="10">
      <c r="A10" s="2" t="n">
        <v>5</v>
      </c>
      <c r="B10" s="2">
        <f>IFERROR(INDEX(StatementProperty!$B$2:$B$17,MATCH($A10,StatementProperty!$A$2:$A$17,0)),"?")</f>
        <v/>
      </c>
      <c r="C10" s="2">
        <f>IFERROR(INDEX(StatementProperty!$C$2:$C$17,MATCH($A10,StatementProperty!$A$2:$A$17,0)),"?")</f>
        <v/>
      </c>
      <c r="D10" s="2">
        <f>IFERROR(INDEX(PlcFunction!$B$2:$B$5,MATCH($C10,PlcFunction!$A$2:$A$5,0)),"?")</f>
        <v/>
      </c>
      <c r="E10" s="2">
        <f>IFERROR(INDEX(StatementProperty!$D$2:$D$17,MATCH($A10,StatementProperty!$A$2:$A$17,0)),"?")</f>
        <v/>
      </c>
      <c r="F10" s="2">
        <f>IFERROR(INDEX(StatementProperty!$E$2:$E$17,MATCH($A10,StatementProperty!$A$2:$A$17,0)),"")</f>
        <v/>
      </c>
      <c r="G10" s="2" t="n">
        <v>8</v>
      </c>
      <c r="H10" s="2" t="inlineStr">
        <is>
          <t>Off</t>
        </is>
      </c>
      <c r="I10" s="2" t="n"/>
      <c r="J10" s="4" t="n"/>
    </row>
    <row r="11">
      <c r="A11" s="2" t="n">
        <v>6</v>
      </c>
      <c r="B11" s="2">
        <f>IFERROR(INDEX(StatementProperty!$B$2:$B$17,MATCH($A11,StatementProperty!$A$2:$A$17,0)),"?")</f>
        <v/>
      </c>
      <c r="C11" s="2">
        <f>IFERROR(INDEX(StatementProperty!$C$2:$C$17,MATCH($A11,StatementProperty!$A$2:$A$17,0)),"?")</f>
        <v/>
      </c>
      <c r="D11" s="2">
        <f>IFERROR(INDEX(PlcFunction!$B$2:$B$5,MATCH($C11,PlcFunction!$A$2:$A$5,0)),"?")</f>
        <v/>
      </c>
      <c r="E11" s="2">
        <f>IFERROR(INDEX(StatementProperty!$D$2:$D$17,MATCH($A11,StatementProperty!$A$2:$A$17,0)),"?")</f>
        <v/>
      </c>
      <c r="F11" s="2">
        <f>IFERROR(INDEX(StatementProperty!$E$2:$E$17,MATCH($A11,StatementProperty!$A$2:$A$17,0)),"")</f>
        <v/>
      </c>
      <c r="G11" s="2" t="n">
        <v>10</v>
      </c>
      <c r="H11" s="2" t="inlineStr">
        <is>
          <t>Run</t>
        </is>
      </c>
      <c r="I11" s="2" t="n">
        <v>1</v>
      </c>
      <c r="J11" s="4" t="n"/>
    </row>
    <row r="12">
      <c r="A12" s="2" t="n">
        <v>6</v>
      </c>
      <c r="B12" s="2">
        <f>IFERROR(INDEX(StatementProperty!$B$2:$B$17,MATCH($A12,StatementProperty!$A$2:$A$17,0)),"?")</f>
        <v/>
      </c>
      <c r="C12" s="2">
        <f>IFERROR(INDEX(StatementProperty!$C$2:$C$17,MATCH($A12,StatementProperty!$A$2:$A$17,0)),"?")</f>
        <v/>
      </c>
      <c r="D12" s="2">
        <f>IFERROR(INDEX(PlcFunction!$B$2:$B$5,MATCH($C12,PlcFunction!$A$2:$A$5,0)),"?")</f>
        <v/>
      </c>
      <c r="E12" s="2">
        <f>IFERROR(INDEX(StatementProperty!$D$2:$D$17,MATCH($A12,StatementProperty!$A$2:$A$17,0)),"?")</f>
        <v/>
      </c>
      <c r="F12" s="2">
        <f>IFERROR(INDEX(StatementProperty!$E$2:$E$17,MATCH($A12,StatementProperty!$A$2:$A$17,0)),"")</f>
        <v/>
      </c>
      <c r="G12" s="2" t="n">
        <v>11</v>
      </c>
      <c r="H12" s="2" t="inlineStr">
        <is>
          <t>Stop</t>
        </is>
      </c>
      <c r="I12" s="2" t="n">
        <v>0</v>
      </c>
      <c r="J12" s="4" t="n"/>
    </row>
    <row r="13">
      <c r="A13" s="2" t="n">
        <v>7</v>
      </c>
      <c r="B13" s="2">
        <f>IFERROR(INDEX(StatementProperty!$B$2:$B$17,MATCH($A13,StatementProperty!$A$2:$A$17,0)),"?")</f>
        <v/>
      </c>
      <c r="C13" s="2">
        <f>IFERROR(INDEX(StatementProperty!$C$2:$C$17,MATCH($A13,StatementProperty!$A$2:$A$17,0)),"?")</f>
        <v/>
      </c>
      <c r="D13" s="2">
        <f>IFERROR(INDEX(PlcFunction!$B$2:$B$5,MATCH($C13,PlcFunction!$A$2:$A$5,0)),"?")</f>
        <v/>
      </c>
      <c r="E13" s="2">
        <f>IFERROR(INDEX(StatementProperty!$D$2:$D$17,MATCH($A13,StatementProperty!$A$2:$A$17,0)),"?")</f>
        <v/>
      </c>
      <c r="F13" s="2">
        <f>IFERROR(INDEX(StatementProperty!$E$2:$E$17,MATCH($A13,StatementProperty!$A$2:$A$17,0)),"")</f>
        <v/>
      </c>
      <c r="G13" s="2" t="n">
        <v>12</v>
      </c>
      <c r="H13" s="2" t="inlineStr">
        <is>
          <t>Run</t>
        </is>
      </c>
      <c r="I13" s="2" t="n">
        <v>1</v>
      </c>
      <c r="J13" s="4" t="n"/>
    </row>
    <row r="14">
      <c r="A14" s="2" t="n">
        <v>7</v>
      </c>
      <c r="B14" s="2">
        <f>IFERROR(INDEX(StatementProperty!$B$2:$B$17,MATCH($A14,StatementProperty!$A$2:$A$17,0)),"?")</f>
        <v/>
      </c>
      <c r="C14" s="2">
        <f>IFERROR(INDEX(StatementProperty!$C$2:$C$17,MATCH($A14,StatementProperty!$A$2:$A$17,0)),"?")</f>
        <v/>
      </c>
      <c r="D14" s="2">
        <f>IFERROR(INDEX(PlcFunction!$B$2:$B$5,MATCH($C14,PlcFunction!$A$2:$A$5,0)),"?")</f>
        <v/>
      </c>
      <c r="E14" s="2">
        <f>IFERROR(INDEX(StatementProperty!$D$2:$D$17,MATCH($A14,StatementProperty!$A$2:$A$17,0)),"?")</f>
        <v/>
      </c>
      <c r="F14" s="2">
        <f>IFERROR(INDEX(StatementProperty!$E$2:$E$17,MATCH($A14,StatementProperty!$A$2:$A$17,0)),"")</f>
        <v/>
      </c>
      <c r="G14" s="2" t="n">
        <v>13</v>
      </c>
      <c r="H14" s="2" t="inlineStr">
        <is>
          <t>Stop</t>
        </is>
      </c>
      <c r="I14" s="2" t="n">
        <v>0</v>
      </c>
      <c r="J14" s="4" t="n"/>
    </row>
    <row r="15">
      <c r="A15" s="2" t="n">
        <v>9</v>
      </c>
      <c r="B15" s="2">
        <f>IFERROR(INDEX(StatementProperty!$B$2:$B$17,MATCH($A15,StatementProperty!$A$2:$A$17,0)),"?")</f>
        <v/>
      </c>
      <c r="C15" s="2">
        <f>IFERROR(INDEX(StatementProperty!$C$2:$C$17,MATCH($A15,StatementProperty!$A$2:$A$17,0)),"?")</f>
        <v/>
      </c>
      <c r="D15" s="2">
        <f>IFERROR(INDEX(PlcFunction!$B$2:$B$5,MATCH($C15,PlcFunction!$A$2:$A$5,0)),"?")</f>
        <v/>
      </c>
      <c r="E15" s="2">
        <f>IFERROR(INDEX(StatementProperty!$D$2:$D$17,MATCH($A15,StatementProperty!$A$2:$A$17,0)),"?")</f>
        <v/>
      </c>
      <c r="F15" s="2">
        <f>IFERROR(INDEX(StatementProperty!$E$2:$E$17,MATCH($A15,StatementProperty!$A$2:$A$17,0)),"")</f>
        <v/>
      </c>
      <c r="G15" s="2" t="n"/>
      <c r="H15" s="2" t="n"/>
      <c r="I15" s="2" t="n"/>
      <c r="J15" s="4" t="n"/>
    </row>
    <row r="16">
      <c r="A16" s="2" t="n">
        <v>10</v>
      </c>
      <c r="B16" s="2">
        <f>IFERROR(INDEX(StatementProperty!$B$2:$B$17,MATCH($A16,StatementProperty!$A$2:$A$17,0)),"?")</f>
        <v/>
      </c>
      <c r="C16" s="2">
        <f>IFERROR(INDEX(StatementProperty!$C$2:$C$17,MATCH($A16,StatementProperty!$A$2:$A$17,0)),"?")</f>
        <v/>
      </c>
      <c r="D16" s="2">
        <f>IFERROR(INDEX(PlcFunction!$B$2:$B$5,MATCH($C16,PlcFunction!$A$2:$A$5,0)),"?")</f>
        <v/>
      </c>
      <c r="E16" s="2">
        <f>IFERROR(INDEX(StatementProperty!$D$2:$D$17,MATCH($A16,StatementProperty!$A$2:$A$17,0)),"?")</f>
        <v/>
      </c>
      <c r="F16" s="2">
        <f>IFERROR(INDEX(StatementProperty!$E$2:$E$17,MATCH($A16,StatementProperty!$A$2:$A$17,0)),"")</f>
        <v/>
      </c>
      <c r="G16" s="2" t="n"/>
      <c r="H16" s="2" t="n"/>
      <c r="I16" s="2" t="n"/>
      <c r="J16" s="4" t="n"/>
    </row>
    <row r="17">
      <c r="A17" s="2" t="n">
        <v>11</v>
      </c>
      <c r="B17" s="2">
        <f>IFERROR(INDEX(StatementProperty!$B$2:$B$17,MATCH($A17,StatementProperty!$A$2:$A$17,0)),"?")</f>
        <v/>
      </c>
      <c r="C17" s="2">
        <f>IFERROR(INDEX(StatementProperty!$C$2:$C$17,MATCH($A17,StatementProperty!$A$2:$A$17,0)),"?")</f>
        <v/>
      </c>
      <c r="D17" s="2">
        <f>IFERROR(INDEX(PlcFunction!$B$2:$B$5,MATCH($C17,PlcFunction!$A$2:$A$5,0)),"?")</f>
        <v/>
      </c>
      <c r="E17" s="2">
        <f>IFERROR(INDEX(StatementProperty!$D$2:$D$17,MATCH($A17,StatementProperty!$A$2:$A$17,0)),"?")</f>
        <v/>
      </c>
      <c r="F17" s="2">
        <f>IFERROR(INDEX(StatementProperty!$E$2:$E$17,MATCH($A17,StatementProperty!$A$2:$A$17,0)),"")</f>
        <v/>
      </c>
      <c r="G17" s="2" t="n"/>
      <c r="H17" s="2" t="n"/>
      <c r="I17" s="2" t="n"/>
      <c r="J17" s="4" t="n"/>
    </row>
    <row r="18">
      <c r="A18" s="2" t="n">
        <v>12</v>
      </c>
      <c r="B18" s="2">
        <f>IFERROR(INDEX(StatementProperty!$B$2:$B$17,MATCH($A18,StatementProperty!$A$2:$A$17,0)),"?")</f>
        <v/>
      </c>
      <c r="C18" s="2">
        <f>IFERROR(INDEX(StatementProperty!$C$2:$C$17,MATCH($A18,StatementProperty!$A$2:$A$17,0)),"?")</f>
        <v/>
      </c>
      <c r="D18" s="2">
        <f>IFERROR(INDEX(PlcFunction!$B$2:$B$5,MATCH($C18,PlcFunction!$A$2:$A$5,0)),"?")</f>
        <v/>
      </c>
      <c r="E18" s="2">
        <f>IFERROR(INDEX(StatementProperty!$D$2:$D$17,MATCH($A18,StatementProperty!$A$2:$A$17,0)),"?")</f>
        <v/>
      </c>
      <c r="F18" s="2">
        <f>IFERROR(INDEX(StatementProperty!$E$2:$E$17,MATCH($A18,StatementProperty!$A$2:$A$17,0)),"")</f>
        <v/>
      </c>
      <c r="G18" s="2" t="n">
        <v>15</v>
      </c>
      <c r="H18" s="2" t="inlineStr">
        <is>
          <t>On</t>
        </is>
      </c>
      <c r="I18" s="2" t="n"/>
      <c r="J18" s="4" t="n"/>
    </row>
    <row r="19">
      <c r="A19" s="2" t="n">
        <v>12</v>
      </c>
      <c r="B19" s="2">
        <f>IFERROR(INDEX(StatementProperty!$B$2:$B$17,MATCH($A19,StatementProperty!$A$2:$A$17,0)),"?")</f>
        <v/>
      </c>
      <c r="C19" s="2">
        <f>IFERROR(INDEX(StatementProperty!$C$2:$C$17,MATCH($A19,StatementProperty!$A$2:$A$17,0)),"?")</f>
        <v/>
      </c>
      <c r="D19" s="2">
        <f>IFERROR(INDEX(PlcFunction!$B$2:$B$5,MATCH($C19,PlcFunction!$A$2:$A$5,0)),"?")</f>
        <v/>
      </c>
      <c r="E19" s="2">
        <f>IFERROR(INDEX(StatementProperty!$D$2:$D$17,MATCH($A19,StatementProperty!$A$2:$A$17,0)),"?")</f>
        <v/>
      </c>
      <c r="F19" s="2">
        <f>IFERROR(INDEX(StatementProperty!$E$2:$E$17,MATCH($A19,StatementProperty!$A$2:$A$17,0)),"")</f>
        <v/>
      </c>
      <c r="G19" s="2" t="n">
        <v>16</v>
      </c>
      <c r="H19" s="2" t="inlineStr">
        <is>
          <t>Off</t>
        </is>
      </c>
      <c r="I19" s="2" t="n"/>
      <c r="J19" s="4" t="n"/>
    </row>
    <row r="20">
      <c r="A20" s="2" t="n">
        <v>13</v>
      </c>
      <c r="B20" s="2">
        <f>IFERROR(INDEX(StatementProperty!$B$2:$B$17,MATCH($A20,StatementProperty!$A$2:$A$17,0)),"?")</f>
        <v/>
      </c>
      <c r="C20" s="2">
        <f>IFERROR(INDEX(StatementProperty!$C$2:$C$17,MATCH($A20,StatementProperty!$A$2:$A$17,0)),"?")</f>
        <v/>
      </c>
      <c r="D20" s="2">
        <f>IFERROR(INDEX(PlcFunction!$B$2:$B$5,MATCH($C20,PlcFunction!$A$2:$A$5,0)),"?")</f>
        <v/>
      </c>
      <c r="E20" s="2">
        <f>IFERROR(INDEX(StatementProperty!$D$2:$D$17,MATCH($A20,StatementProperty!$A$2:$A$17,0)),"?")</f>
        <v/>
      </c>
      <c r="F20" s="2">
        <f>IFERROR(INDEX(StatementProperty!$E$2:$E$17,MATCH($A20,StatementProperty!$A$2:$A$17,0)),"")</f>
        <v/>
      </c>
      <c r="G20" s="2" t="n">
        <v>17</v>
      </c>
      <c r="H20" s="2" t="inlineStr">
        <is>
          <t>On</t>
        </is>
      </c>
      <c r="I20" s="2" t="n"/>
      <c r="J20" s="4" t="n"/>
    </row>
    <row r="21">
      <c r="A21" s="2" t="n">
        <v>13</v>
      </c>
      <c r="B21" s="2">
        <f>IFERROR(INDEX(StatementProperty!$B$2:$B$17,MATCH($A21,StatementProperty!$A$2:$A$17,0)),"?")</f>
        <v/>
      </c>
      <c r="C21" s="2">
        <f>IFERROR(INDEX(StatementProperty!$C$2:$C$17,MATCH($A21,StatementProperty!$A$2:$A$17,0)),"?")</f>
        <v/>
      </c>
      <c r="D21" s="2">
        <f>IFERROR(INDEX(PlcFunction!$B$2:$B$5,MATCH($C21,PlcFunction!$A$2:$A$5,0)),"?")</f>
        <v/>
      </c>
      <c r="E21" s="2">
        <f>IFERROR(INDEX(StatementProperty!$D$2:$D$17,MATCH($A21,StatementProperty!$A$2:$A$17,0)),"?")</f>
        <v/>
      </c>
      <c r="F21" s="2">
        <f>IFERROR(INDEX(StatementProperty!$E$2:$E$17,MATCH($A21,StatementProperty!$A$2:$A$17,0)),"")</f>
        <v/>
      </c>
      <c r="G21" s="2" t="n">
        <v>18</v>
      </c>
      <c r="H21" s="2" t="inlineStr">
        <is>
          <t>Off</t>
        </is>
      </c>
      <c r="I21" s="2" t="n"/>
      <c r="J21" s="4" t="n"/>
    </row>
    <row r="22">
      <c r="A22" s="2" t="n">
        <v>14</v>
      </c>
      <c r="B22" s="2">
        <f>IFERROR(INDEX(StatementProperty!$B$2:$B$17,MATCH($A22,StatementProperty!$A$2:$A$17,0)),"?")</f>
        <v/>
      </c>
      <c r="C22" s="2">
        <f>IFERROR(INDEX(StatementProperty!$C$2:$C$17,MATCH($A22,StatementProperty!$A$2:$A$17,0)),"?")</f>
        <v/>
      </c>
      <c r="D22" s="2">
        <f>IFERROR(INDEX(PlcFunction!$B$2:$B$5,MATCH($C22,PlcFunction!$A$2:$A$5,0)),"?")</f>
        <v/>
      </c>
      <c r="E22" s="2">
        <f>IFERROR(INDEX(StatementProperty!$D$2:$D$17,MATCH($A22,StatementProperty!$A$2:$A$17,0)),"?")</f>
        <v/>
      </c>
      <c r="F22" s="2">
        <f>IFERROR(INDEX(StatementProperty!$E$2:$E$17,MATCH($A22,StatementProperty!$A$2:$A$17,0)),"")</f>
        <v/>
      </c>
      <c r="G22" s="2" t="n">
        <v>19</v>
      </c>
      <c r="H22" s="2" t="inlineStr">
        <is>
          <t>Fulfilled</t>
        </is>
      </c>
      <c r="I22" s="2" t="n">
        <v>1</v>
      </c>
      <c r="J22" s="4" t="n"/>
    </row>
    <row r="23">
      <c r="A23" s="2" t="n">
        <v>14</v>
      </c>
      <c r="B23" s="2">
        <f>IFERROR(INDEX(StatementProperty!$B$2:$B$17,MATCH($A23,StatementProperty!$A$2:$A$17,0)),"?")</f>
        <v/>
      </c>
      <c r="C23" s="2">
        <f>IFERROR(INDEX(StatementProperty!$C$2:$C$17,MATCH($A23,StatementProperty!$A$2:$A$17,0)),"?")</f>
        <v/>
      </c>
      <c r="D23" s="2">
        <f>IFERROR(INDEX(PlcFunction!$B$2:$B$5,MATCH($C23,PlcFunction!$A$2:$A$5,0)),"?")</f>
        <v/>
      </c>
      <c r="E23" s="2">
        <f>IFERROR(INDEX(StatementProperty!$D$2:$D$17,MATCH($A23,StatementProperty!$A$2:$A$17,0)),"?")</f>
        <v/>
      </c>
      <c r="F23" s="2">
        <f>IFERROR(INDEX(StatementProperty!$E$2:$E$17,MATCH($A23,StatementProperty!$A$2:$A$17,0)),"")</f>
        <v/>
      </c>
      <c r="G23" s="2" t="n">
        <v>20</v>
      </c>
      <c r="H23" s="2" t="inlineStr">
        <is>
          <t>Unfulfilled</t>
        </is>
      </c>
      <c r="I23" s="2" t="n">
        <v>0</v>
      </c>
      <c r="J23" s="4" t="n"/>
    </row>
    <row r="24">
      <c r="A24" s="2" t="n">
        <v>15</v>
      </c>
      <c r="B24" s="2">
        <f>IFERROR(INDEX(StatementProperty!$B$2:$B$17,MATCH($A24,StatementProperty!$A$2:$A$17,0)),"?")</f>
        <v/>
      </c>
      <c r="C24" s="2">
        <f>IFERROR(INDEX(StatementProperty!$C$2:$C$17,MATCH($A24,StatementProperty!$A$2:$A$17,0)),"?")</f>
        <v/>
      </c>
      <c r="D24" s="2">
        <f>IFERROR(INDEX(PlcFunction!$B$2:$B$5,MATCH($C24,PlcFunction!$A$2:$A$5,0)),"?")</f>
        <v/>
      </c>
      <c r="E24" s="2">
        <f>IFERROR(INDEX(StatementProperty!$D$2:$D$17,MATCH($A24,StatementProperty!$A$2:$A$17,0)),"?")</f>
        <v/>
      </c>
      <c r="F24" s="2">
        <f>IFERROR(INDEX(StatementProperty!$E$2:$E$17,MATCH($A24,StatementProperty!$A$2:$A$17,0)),"")</f>
        <v/>
      </c>
      <c r="G24" s="2" t="n">
        <v>21</v>
      </c>
      <c r="H24" s="2" t="inlineStr">
        <is>
          <t>On</t>
        </is>
      </c>
      <c r="I24" s="2" t="n"/>
      <c r="J24" s="4" t="n"/>
    </row>
    <row r="25">
      <c r="A25" s="2" t="n">
        <v>15</v>
      </c>
      <c r="B25" s="2">
        <f>IFERROR(INDEX(StatementProperty!$B$2:$B$17,MATCH($A25,StatementProperty!$A$2:$A$17,0)),"?")</f>
        <v/>
      </c>
      <c r="C25" s="2">
        <f>IFERROR(INDEX(StatementProperty!$C$2:$C$17,MATCH($A25,StatementProperty!$A$2:$A$17,0)),"?")</f>
        <v/>
      </c>
      <c r="D25" s="2">
        <f>IFERROR(INDEX(PlcFunction!$B$2:$B$5,MATCH($C25,PlcFunction!$A$2:$A$5,0)),"?")</f>
        <v/>
      </c>
      <c r="E25" s="2">
        <f>IFERROR(INDEX(StatementProperty!$D$2:$D$17,MATCH($A25,StatementProperty!$A$2:$A$17,0)),"?")</f>
        <v/>
      </c>
      <c r="F25" s="2">
        <f>IFERROR(INDEX(StatementProperty!$E$2:$E$17,MATCH($A25,StatementProperty!$A$2:$A$17,0)),"")</f>
        <v/>
      </c>
      <c r="G25" s="2" t="n">
        <v>22</v>
      </c>
      <c r="H25" s="2" t="inlineStr">
        <is>
          <t>Off</t>
        </is>
      </c>
      <c r="I25" s="2" t="n"/>
      <c r="J25" s="4" t="n"/>
    </row>
    <row r="26">
      <c r="A26" s="2" t="n">
        <v>16</v>
      </c>
      <c r="B26" s="2">
        <f>IFERROR(INDEX(StatementProperty!$B$2:$B$17,MATCH($A26,StatementProperty!$A$2:$A$17,0)),"?")</f>
        <v/>
      </c>
      <c r="C26" s="2">
        <f>IFERROR(INDEX(StatementProperty!$C$2:$C$17,MATCH($A26,StatementProperty!$A$2:$A$17,0)),"?")</f>
        <v/>
      </c>
      <c r="D26" s="2">
        <f>IFERROR(INDEX(PlcFunction!$B$2:$B$5,MATCH($C26,PlcFunction!$A$2:$A$5,0)),"?")</f>
        <v/>
      </c>
      <c r="E26" s="2">
        <f>IFERROR(INDEX(StatementProperty!$D$2:$D$17,MATCH($A26,StatementProperty!$A$2:$A$17,0)),"?")</f>
        <v/>
      </c>
      <c r="F26" s="2">
        <f>IFERROR(INDEX(StatementProperty!$E$2:$E$17,MATCH($A26,StatementProperty!$A$2:$A$17,0)),"")</f>
        <v/>
      </c>
      <c r="G26" s="2" t="n">
        <v>23</v>
      </c>
      <c r="H26" s="2" t="inlineStr">
        <is>
          <t>On</t>
        </is>
      </c>
      <c r="I26" s="2" t="n"/>
      <c r="J26" s="4" t="n"/>
    </row>
    <row r="27">
      <c r="A27" s="2" t="n">
        <v>16</v>
      </c>
      <c r="B27" s="2">
        <f>IFERROR(INDEX(StatementProperty!$B$2:$B$17,MATCH($A27,StatementProperty!$A$2:$A$17,0)),"?")</f>
        <v/>
      </c>
      <c r="C27" s="2">
        <f>IFERROR(INDEX(StatementProperty!$C$2:$C$17,MATCH($A27,StatementProperty!$A$2:$A$17,0)),"?")</f>
        <v/>
      </c>
      <c r="D27" s="2">
        <f>IFERROR(INDEX(PlcFunction!$B$2:$B$5,MATCH($C27,PlcFunction!$A$2:$A$5,0)),"?")</f>
        <v/>
      </c>
      <c r="E27" s="2">
        <f>IFERROR(INDEX(StatementProperty!$D$2:$D$17,MATCH($A27,StatementProperty!$A$2:$A$17,0)),"?")</f>
        <v/>
      </c>
      <c r="F27" s="2">
        <f>IFERROR(INDEX(StatementProperty!$E$2:$E$17,MATCH($A27,StatementProperty!$A$2:$A$17,0)),"")</f>
        <v/>
      </c>
      <c r="G27" s="2" t="n">
        <v>24</v>
      </c>
      <c r="H27" s="2" t="inlineStr">
        <is>
          <t>Off</t>
        </is>
      </c>
      <c r="I27" s="2" t="n"/>
      <c r="J27" s="4" t="n"/>
    </row>
    <row r="28">
      <c r="A28" s="2" t="n">
        <v>17</v>
      </c>
      <c r="B28" s="2">
        <f>IFERROR(INDEX(StatementProperty!$B$2:$B$17,MATCH($A28,StatementProperty!$A$2:$A$17,0)),"?")</f>
        <v/>
      </c>
      <c r="C28" s="2">
        <f>IFERROR(INDEX(StatementProperty!$C$2:$C$17,MATCH($A28,StatementProperty!$A$2:$A$17,0)),"?")</f>
        <v/>
      </c>
      <c r="D28" s="2">
        <f>IFERROR(INDEX(PlcFunction!$B$2:$B$5,MATCH($C28,PlcFunction!$A$2:$A$5,0)),"?")</f>
        <v/>
      </c>
      <c r="E28" s="2">
        <f>IFERROR(INDEX(StatementProperty!$D$2:$D$17,MATCH($A28,StatementProperty!$A$2:$A$17,0)),"?")</f>
        <v/>
      </c>
      <c r="F28" s="2">
        <f>IFERROR(INDEX(StatementProperty!$E$2:$E$17,MATCH($A28,StatementProperty!$A$2:$A$17,0)),"")</f>
        <v/>
      </c>
      <c r="G28" s="2" t="n"/>
      <c r="H28" s="2" t="n"/>
      <c r="I28" s="2" t="n"/>
      <c r="J28" s="4" t="n"/>
    </row>
    <row r="30">
      <c r="A30" s="5" t="inlineStr">
        <is>
          <t>Yellow cells are for you to fill in.</t>
        </is>
      </c>
    </row>
    <row r="31">
      <c r="A31" s="6" t="inlineStr">
        <is>
          <t>EquipmentId: which equipment this property belongs to. Not in the source data - see Data Issues.</t>
        </is>
      </c>
    </row>
    <row r="32">
      <c r="A32" s="6" t="inlineStr">
        <is>
          <t>DataType: edit it on the StatementProperty sheet; this column reads from there.</t>
        </is>
      </c>
    </row>
    <row r="33">
      <c r="A33" s="6" t="inlineStr">
        <is>
          <t>Example row: PropertyId 1, DataType BOOL, EquipmentId 1 (Motor).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s>
  <sheetData>
    <row r="1" ht="28" customHeight="1">
      <c r="A1" s="1" t="inlineStr">
        <is>
          <t>Id</t>
        </is>
      </c>
      <c r="B1" s="1" t="inlineStr">
        <is>
          <t>Name</t>
        </is>
      </c>
      <c r="C1" s="1" t="inlineStr">
        <is>
          <t>ProfileId</t>
        </is>
      </c>
    </row>
    <row r="2">
      <c r="A2" s="2" t="n">
        <v>1</v>
      </c>
      <c r="B2" s="2" t="inlineStr">
        <is>
          <t>Motor</t>
        </is>
      </c>
      <c r="C2" s="2" t="n">
        <v>1</v>
      </c>
    </row>
    <row r="3">
      <c r="A3" s="2" t="n">
        <v>2</v>
      </c>
      <c r="B3" s="2" t="inlineStr">
        <is>
          <t>Valve</t>
        </is>
      </c>
      <c r="C3" s="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s>
  <sheetData>
    <row r="1" ht="28" customHeight="1">
      <c r="A1" s="1" t="inlineStr">
        <is>
          <t>Id</t>
        </is>
      </c>
      <c r="B1" s="1" t="inlineStr">
        <is>
          <t>Name</t>
        </is>
      </c>
      <c r="C1" s="1" t="inlineStr">
        <is>
          <t>ProfileId</t>
        </is>
      </c>
    </row>
    <row r="2">
      <c r="A2" s="2" t="n">
        <v>1</v>
      </c>
      <c r="B2" s="2" t="inlineStr">
        <is>
          <t>HMI</t>
        </is>
      </c>
      <c r="C2" s="2" t="n">
        <v>1</v>
      </c>
    </row>
    <row r="3">
      <c r="A3" s="2" t="n">
        <v>2</v>
      </c>
      <c r="B3" s="2" t="inlineStr">
        <is>
          <t>PLC</t>
        </is>
      </c>
      <c r="C3" s="2" t="n">
        <v>1</v>
      </c>
    </row>
    <row r="4">
      <c r="A4" s="2" t="n">
        <v>3</v>
      </c>
      <c r="B4" s="2" t="inlineStr">
        <is>
          <t>Delay Timer</t>
        </is>
      </c>
      <c r="C4" s="2" t="n">
        <v>1</v>
      </c>
    </row>
    <row r="5">
      <c r="A5" s="2" t="n">
        <v>4</v>
      </c>
      <c r="B5" s="2" t="inlineStr">
        <is>
          <t>Time Recorder</t>
        </is>
      </c>
      <c r="C5" s="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95" customWidth="1" min="3" max="3"/>
    <col width="12" customWidth="1" min="4" max="4"/>
  </cols>
  <sheetData>
    <row r="1" ht="28" customHeight="1">
      <c r="A1" s="1" t="inlineStr">
        <is>
          <t>StatementId</t>
        </is>
      </c>
      <c r="B1" s="1" t="inlineStr">
        <is>
          <t>StatementName</t>
        </is>
      </c>
      <c r="C1" s="1" t="inlineStr">
        <is>
          <t>StatementContent</t>
        </is>
      </c>
      <c r="D1" s="1" t="inlineStr">
        <is>
          <t>EquipmentId</t>
        </is>
      </c>
    </row>
    <row r="2" ht="46" customHeight="1">
      <c r="A2" s="2" t="n">
        <v>1</v>
      </c>
      <c r="B2" s="2" t="inlineStr">
        <is>
          <t>Operation</t>
        </is>
      </c>
      <c r="C2" s="3" t="inlineStr">
        <is>
          <t>When auto run ready or manual run ready and no faults, then will command run.</t>
        </is>
      </c>
      <c r="D2" s="2" t="n">
        <v>1</v>
      </c>
    </row>
    <row r="3" ht="46" customHeight="1">
      <c r="A3" s="2" t="n">
        <v>2</v>
      </c>
      <c r="B3" s="2" t="inlineStr">
        <is>
          <t>System Handle</t>
        </is>
      </c>
      <c r="C3" s="3" t="inlineStr">
        <is>
          <t>When operation mode in Auto, the Manual Start/Stop position will according with Operation Signal Run/Stop. During PLC Initialize or MCC Trip On, the Manual Operation position will be in Stop. During PLC Initialize, Run Fail Timer's delay time Set to 10 seconds. Operation Signal Run time will be recorded by runtime recorder.</t>
        </is>
      </c>
      <c r="D3" s="2" t="n">
        <v>1</v>
      </c>
    </row>
    <row r="4" ht="46" customHeight="1">
      <c r="A4" s="2" t="n">
        <v>3</v>
      </c>
      <c r="B4" s="2" t="inlineStr">
        <is>
          <t>Operation</t>
        </is>
      </c>
      <c r="C4" s="3" t="inlineStr">
        <is>
          <t>When Manual Run Fulfilled or Auto Run Fulfilled, without trip Alarm, then PLC command Run. During motor Run, the running time will be recorded by timer recorder</t>
        </is>
      </c>
      <c r="D4" s="2" t="n">
        <v>2</v>
      </c>
    </row>
    <row r="5" ht="46" customHeight="1">
      <c r="A5" s="2" t="n">
        <v>4</v>
      </c>
      <c r="B5" s="2" t="inlineStr">
        <is>
          <t>System Handle</t>
        </is>
      </c>
      <c r="C5" s="3" t="inlineStr">
        <is>
          <t>When in Auto Mode, Manual Operation position will change and retain according with Input Run Signal. During PLC Initializing or MCC Trip On, the Manual Operation position will be in Stop. During PLC Initializing, Run Fail Alarm Timer Setpoint assigned value 10 seconds. During PLC Initializing, Trip Alarm Timer Setpoint assigned value 3 seconds. Trip Alarm Timer will start counting when have Trip Feedback On. If the Trip Alarm Timer elapsed, Trip Alarm will turn on. Trip Alarm will off and Trip Alarm Timer will be reset when Trip Feedback is off. When Trip Alarm On, Trip Buzzer will turn on and retain. Trip Buzzer only can be reset by</t>
        </is>
      </c>
      <c r="D5" s="2" t="n">
        <v>2</v>
      </c>
    </row>
    <row r="6" ht="46" customHeight="1">
      <c r="A6" s="2" t="n">
        <v>7</v>
      </c>
      <c r="B6" s="2" t="inlineStr">
        <is>
          <t>Run Failed</t>
        </is>
      </c>
      <c r="C6" s="3" t="inlineStr">
        <is>
          <t>When Operation signal Run not received after run fail timer elapsed, turn on Run Fail alarm, turn on Run Fail Buzzer once. When HMI Acknowledge, turn off Run Fail Buzzer</t>
        </is>
      </c>
      <c r="D6" s="2" t="n">
        <v>1</v>
      </c>
    </row>
    <row r="7" ht="46" customHeight="1">
      <c r="A7" s="2" t="n">
        <v>11</v>
      </c>
      <c r="B7" s="2" t="inlineStr">
        <is>
          <t>Auto run ready</t>
        </is>
      </c>
      <c r="C7" s="3" t="inlineStr">
        <is>
          <t>When operation mode in Auto and Sequence Auto is fulfilled.</t>
        </is>
      </c>
      <c r="D7" s="2" t="n">
        <v>1</v>
      </c>
    </row>
    <row r="8" ht="46" customHeight="1">
      <c r="A8" s="2" t="n">
        <v>12</v>
      </c>
      <c r="B8" s="2" t="inlineStr">
        <is>
          <t>Manual run ready</t>
        </is>
      </c>
      <c r="C8" s="3" t="inlineStr">
        <is>
          <t>When operation mode in Manual and manual started</t>
        </is>
      </c>
      <c r="D8" s="2" t="n">
        <v>1</v>
      </c>
    </row>
    <row r="9" ht="46" customHeight="1">
      <c r="A9" s="2" t="n">
        <v>13</v>
      </c>
      <c r="B9" s="2" t="inlineStr">
        <is>
          <t>Faults</t>
        </is>
      </c>
      <c r="C9" s="3" t="inlineStr">
        <is>
          <t>When trip alarm is on or run fail alarm is on</t>
        </is>
      </c>
      <c r="D9" s="2" t="n">
        <v>1</v>
      </c>
    </row>
    <row r="10" ht="46" customHeight="1">
      <c r="A10" s="2" t="n">
        <v>17</v>
      </c>
      <c r="B10" s="2" t="inlineStr">
        <is>
          <t>Trip</t>
        </is>
      </c>
      <c r="C10" s="3" t="inlineStr">
        <is>
          <t>When Trip Signal is On, turn on Trip Alarm, turn on Trip Buzzer once. When HMI Acknowledge, turn off Trip Buzzer.</t>
        </is>
      </c>
      <c r="D10" s="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4" customWidth="1" min="3" max="3"/>
    <col width="18" customWidth="1" min="4" max="4"/>
    <col width="12" customWidth="1" min="5" max="5"/>
  </cols>
  <sheetData>
    <row r="1" ht="28" customHeight="1">
      <c r="A1" s="1" t="inlineStr">
        <is>
          <t>PropertyId</t>
        </is>
      </c>
      <c r="B1" s="1" t="inlineStr">
        <is>
          <t>PropertyName</t>
        </is>
      </c>
      <c r="C1" s="1" t="inlineStr">
        <is>
          <t>PlcFunctionId</t>
        </is>
      </c>
      <c r="D1" s="1" t="inlineStr">
        <is>
          <t>PlcVariable</t>
        </is>
      </c>
      <c r="E1" s="1" t="inlineStr">
        <is>
          <t>DataType</t>
        </is>
      </c>
    </row>
    <row r="2">
      <c r="A2" s="2" t="n">
        <v>1</v>
      </c>
      <c r="B2" s="2" t="inlineStr">
        <is>
          <t>Operation Mode</t>
        </is>
      </c>
      <c r="C2" s="2" t="n">
        <v>1</v>
      </c>
      <c r="D2" s="2" t="inlineStr">
        <is>
          <t>blnMA</t>
        </is>
      </c>
      <c r="E2" s="4" t="n"/>
    </row>
    <row r="3">
      <c r="A3" s="2" t="n">
        <v>2</v>
      </c>
      <c r="B3" s="2" t="inlineStr">
        <is>
          <t>MCC Trip</t>
        </is>
      </c>
      <c r="C3" s="2" t="n">
        <v>1</v>
      </c>
      <c r="D3" s="7" t="inlineStr">
        <is>
          <t>New Instance</t>
        </is>
      </c>
      <c r="E3" s="4" t="n"/>
    </row>
    <row r="4">
      <c r="A4" s="2" t="n">
        <v>3</v>
      </c>
      <c r="B4" s="2" t="inlineStr">
        <is>
          <t>VOP</t>
        </is>
      </c>
      <c r="C4" s="2" t="n">
        <v>1</v>
      </c>
      <c r="D4" s="7" t="inlineStr">
        <is>
          <t>New Instance</t>
        </is>
      </c>
      <c r="E4" s="4" t="n"/>
    </row>
    <row r="5">
      <c r="A5" s="2" t="n">
        <v>4</v>
      </c>
      <c r="B5" s="2" t="inlineStr">
        <is>
          <t>Manual</t>
        </is>
      </c>
      <c r="C5" s="2" t="n">
        <v>1</v>
      </c>
      <c r="D5" s="2" t="inlineStr">
        <is>
          <t>blnMC</t>
        </is>
      </c>
      <c r="E5" s="4" t="n"/>
    </row>
    <row r="6">
      <c r="A6" s="2" t="n">
        <v>5</v>
      </c>
      <c r="B6" s="2" t="inlineStr">
        <is>
          <t>Trip Signal</t>
        </is>
      </c>
      <c r="C6" s="2" t="n">
        <v>2</v>
      </c>
      <c r="D6" s="2" t="inlineStr">
        <is>
          <t>blnTRP</t>
        </is>
      </c>
      <c r="E6" s="4" t="n"/>
    </row>
    <row r="7">
      <c r="A7" s="2" t="n">
        <v>6</v>
      </c>
      <c r="B7" s="2" t="inlineStr">
        <is>
          <t>Operation Signal</t>
        </is>
      </c>
      <c r="C7" s="2" t="n">
        <v>2</v>
      </c>
      <c r="D7" s="2" t="inlineStr">
        <is>
          <t>blnRUN</t>
        </is>
      </c>
      <c r="E7" s="4" t="n"/>
    </row>
    <row r="8">
      <c r="A8" s="2" t="n">
        <v>7</v>
      </c>
      <c r="B8" s="2" t="inlineStr">
        <is>
          <t>Command</t>
        </is>
      </c>
      <c r="C8" s="2" t="n">
        <v>2</v>
      </c>
      <c r="D8" s="2" t="inlineStr">
        <is>
          <t>blnOut</t>
        </is>
      </c>
      <c r="E8" s="4" t="n"/>
    </row>
    <row r="9">
      <c r="A9" s="2" t="n">
        <v>9</v>
      </c>
      <c r="B9" s="2" t="inlineStr">
        <is>
          <t>PLC Initialize</t>
        </is>
      </c>
      <c r="C9" s="2" t="n">
        <v>2</v>
      </c>
      <c r="D9" s="2" t="inlineStr">
        <is>
          <t>PLCInit</t>
        </is>
      </c>
      <c r="E9" s="4" t="n"/>
    </row>
    <row r="10">
      <c r="A10" s="2" t="n">
        <v>10</v>
      </c>
      <c r="B10" s="2" t="inlineStr">
        <is>
          <t>Run Fail Timer</t>
        </is>
      </c>
      <c r="C10" s="2" t="n">
        <v>3</v>
      </c>
      <c r="D10" s="2" t="inlineStr">
        <is>
          <t>tmrRFAL</t>
        </is>
      </c>
      <c r="E10" s="4" t="n"/>
    </row>
    <row r="11">
      <c r="A11" s="2" t="n">
        <v>11</v>
      </c>
      <c r="B11" s="2" t="inlineStr">
        <is>
          <t>Runtime recorder</t>
        </is>
      </c>
      <c r="C11" s="2" t="n">
        <v>4</v>
      </c>
      <c r="D11" s="2" t="inlineStr">
        <is>
          <t>RFTimer</t>
        </is>
      </c>
      <c r="E11" s="4" t="n"/>
    </row>
    <row r="12">
      <c r="A12" s="2" t="n">
        <v>12</v>
      </c>
      <c r="B12" s="2" t="inlineStr">
        <is>
          <t>Trip Alarm</t>
        </is>
      </c>
      <c r="C12" s="2" t="n">
        <v>1</v>
      </c>
      <c r="D12" s="7" t="inlineStr">
        <is>
          <t>New Instance</t>
        </is>
      </c>
      <c r="E12" s="4" t="n"/>
    </row>
    <row r="13">
      <c r="A13" s="2" t="n">
        <v>13</v>
      </c>
      <c r="B13" s="2" t="inlineStr">
        <is>
          <t>Run Fail Alarm</t>
        </is>
      </c>
      <c r="C13" s="2" t="n">
        <v>1</v>
      </c>
      <c r="D13" s="7" t="inlineStr">
        <is>
          <t>New Instance</t>
        </is>
      </c>
      <c r="E13" s="4" t="n"/>
    </row>
    <row r="14">
      <c r="A14" s="2" t="n">
        <v>14</v>
      </c>
      <c r="B14" s="2" t="inlineStr">
        <is>
          <t>Sequence Auto</t>
        </is>
      </c>
      <c r="C14" s="2" t="n">
        <v>1</v>
      </c>
      <c r="D14" s="2" t="inlineStr">
        <is>
          <t>blnAUT</t>
        </is>
      </c>
      <c r="E14" s="4" t="n"/>
    </row>
    <row r="15">
      <c r="A15" s="2" t="n">
        <v>15</v>
      </c>
      <c r="B15" s="2" t="inlineStr">
        <is>
          <t>Run Fail Buzzer</t>
        </is>
      </c>
      <c r="C15" s="2" t="n">
        <v>1</v>
      </c>
      <c r="D15" s="7" t="inlineStr">
        <is>
          <t>New Instance</t>
        </is>
      </c>
      <c r="E15" s="4" t="n"/>
    </row>
    <row r="16">
      <c r="A16" s="2" t="n">
        <v>16</v>
      </c>
      <c r="B16" s="2" t="inlineStr">
        <is>
          <t>Trip Buzzer</t>
        </is>
      </c>
      <c r="C16" s="2" t="n">
        <v>1</v>
      </c>
      <c r="D16" s="7" t="inlineStr">
        <is>
          <t>New Instance</t>
        </is>
      </c>
      <c r="E16" s="4" t="n"/>
    </row>
    <row r="17">
      <c r="A17" s="2" t="n">
        <v>17</v>
      </c>
      <c r="B17" s="2" t="inlineStr">
        <is>
          <t>HMI Acknowledge</t>
        </is>
      </c>
      <c r="C17" s="2" t="n">
        <v>1</v>
      </c>
      <c r="D17" s="2" t="inlineStr">
        <is>
          <t>SysAck</t>
        </is>
      </c>
      <c r="E17" s="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2" customWidth="1" min="3" max="3"/>
    <col width="12" customWidth="1" min="4" max="4"/>
  </cols>
  <sheetData>
    <row r="1" ht="28" customHeight="1">
      <c r="A1" s="1" t="inlineStr">
        <is>
          <t>TermId</t>
        </is>
      </c>
      <c r="B1" s="1" t="inlineStr">
        <is>
          <t>TermName</t>
        </is>
      </c>
      <c r="C1" s="1" t="inlineStr">
        <is>
          <t>PropertyId</t>
        </is>
      </c>
      <c r="D1" s="1" t="inlineStr">
        <is>
          <t>PlcValue</t>
        </is>
      </c>
    </row>
    <row r="2">
      <c r="A2" s="2" t="n">
        <v>1</v>
      </c>
      <c r="B2" s="2" t="inlineStr">
        <is>
          <t>Auto</t>
        </is>
      </c>
      <c r="C2" s="2" t="n">
        <v>1</v>
      </c>
      <c r="D2" s="2" t="n">
        <v>0</v>
      </c>
    </row>
    <row r="3">
      <c r="A3" s="2" t="n">
        <v>2</v>
      </c>
      <c r="B3" s="2" t="inlineStr">
        <is>
          <t>Manual</t>
        </is>
      </c>
      <c r="C3" s="2" t="n">
        <v>1</v>
      </c>
      <c r="D3" s="2" t="n">
        <v>1</v>
      </c>
    </row>
    <row r="4">
      <c r="A4" s="2" t="n">
        <v>3</v>
      </c>
      <c r="B4" s="2" t="inlineStr">
        <is>
          <t>Trip Off</t>
        </is>
      </c>
      <c r="C4" s="2" t="n">
        <v>2</v>
      </c>
      <c r="D4" s="2" t="n">
        <v>0</v>
      </c>
    </row>
    <row r="5">
      <c r="A5" s="2" t="n">
        <v>4</v>
      </c>
      <c r="B5" s="2" t="inlineStr">
        <is>
          <t>Trip On</t>
        </is>
      </c>
      <c r="C5" s="2" t="n">
        <v>2</v>
      </c>
      <c r="D5" s="2" t="n">
        <v>0</v>
      </c>
    </row>
    <row r="6">
      <c r="A6" s="2" t="n">
        <v>5</v>
      </c>
      <c r="B6" s="2" t="inlineStr">
        <is>
          <t>Start</t>
        </is>
      </c>
      <c r="C6" s="2" t="n">
        <v>4</v>
      </c>
      <c r="D6" s="2" t="n">
        <v>1</v>
      </c>
    </row>
    <row r="7">
      <c r="A7" s="2" t="n">
        <v>6</v>
      </c>
      <c r="B7" s="2" t="inlineStr">
        <is>
          <t>Stop</t>
        </is>
      </c>
      <c r="C7" s="2" t="n">
        <v>4</v>
      </c>
      <c r="D7" s="2" t="n">
        <v>0</v>
      </c>
    </row>
    <row r="8">
      <c r="A8" s="2" t="n">
        <v>7</v>
      </c>
      <c r="B8" s="2" t="inlineStr">
        <is>
          <t>On</t>
        </is>
      </c>
      <c r="C8" s="2" t="n">
        <v>5</v>
      </c>
      <c r="D8" s="7" t="n"/>
    </row>
    <row r="9">
      <c r="A9" s="2" t="n">
        <v>8</v>
      </c>
      <c r="B9" s="2" t="inlineStr">
        <is>
          <t>Off</t>
        </is>
      </c>
      <c r="C9" s="2" t="n">
        <v>5</v>
      </c>
      <c r="D9" s="7" t="n"/>
    </row>
    <row r="10">
      <c r="A10" s="2" t="n">
        <v>10</v>
      </c>
      <c r="B10" s="2" t="inlineStr">
        <is>
          <t>Run</t>
        </is>
      </c>
      <c r="C10" s="2" t="n">
        <v>6</v>
      </c>
      <c r="D10" s="2" t="n">
        <v>1</v>
      </c>
    </row>
    <row r="11">
      <c r="A11" s="2" t="n">
        <v>11</v>
      </c>
      <c r="B11" s="2" t="inlineStr">
        <is>
          <t>Stop</t>
        </is>
      </c>
      <c r="C11" s="2" t="n">
        <v>6</v>
      </c>
      <c r="D11" s="2" t="n">
        <v>0</v>
      </c>
    </row>
    <row r="12">
      <c r="A12" s="2" t="n">
        <v>12</v>
      </c>
      <c r="B12" s="2" t="inlineStr">
        <is>
          <t>Run</t>
        </is>
      </c>
      <c r="C12" s="2" t="n">
        <v>7</v>
      </c>
      <c r="D12" s="2" t="n">
        <v>1</v>
      </c>
    </row>
    <row r="13">
      <c r="A13" s="2" t="n">
        <v>13</v>
      </c>
      <c r="B13" s="2" t="inlineStr">
        <is>
          <t>Stop</t>
        </is>
      </c>
      <c r="C13" s="2" t="n">
        <v>7</v>
      </c>
      <c r="D13" s="2" t="n">
        <v>0</v>
      </c>
    </row>
    <row r="14">
      <c r="A14" s="2" t="n">
        <v>15</v>
      </c>
      <c r="B14" s="2" t="inlineStr">
        <is>
          <t>On</t>
        </is>
      </c>
      <c r="C14" s="2" t="n">
        <v>12</v>
      </c>
      <c r="D14" s="7" t="n"/>
    </row>
    <row r="15">
      <c r="A15" s="2" t="n">
        <v>16</v>
      </c>
      <c r="B15" s="2" t="inlineStr">
        <is>
          <t>Off</t>
        </is>
      </c>
      <c r="C15" s="2" t="n">
        <v>12</v>
      </c>
      <c r="D15" s="7" t="n"/>
    </row>
    <row r="16">
      <c r="A16" s="2" t="n">
        <v>17</v>
      </c>
      <c r="B16" s="2" t="inlineStr">
        <is>
          <t>On</t>
        </is>
      </c>
      <c r="C16" s="2" t="n">
        <v>13</v>
      </c>
      <c r="D16" s="7" t="n"/>
    </row>
    <row r="17">
      <c r="A17" s="2" t="n">
        <v>18</v>
      </c>
      <c r="B17" s="2" t="inlineStr">
        <is>
          <t>Off</t>
        </is>
      </c>
      <c r="C17" s="2" t="n">
        <v>13</v>
      </c>
      <c r="D17" s="7" t="n"/>
    </row>
    <row r="18">
      <c r="A18" s="2" t="n">
        <v>19</v>
      </c>
      <c r="B18" s="2" t="inlineStr">
        <is>
          <t>Fulfilled</t>
        </is>
      </c>
      <c r="C18" s="2" t="n">
        <v>14</v>
      </c>
      <c r="D18" s="2" t="n">
        <v>1</v>
      </c>
    </row>
    <row r="19">
      <c r="A19" s="2" t="n">
        <v>20</v>
      </c>
      <c r="B19" s="2" t="inlineStr">
        <is>
          <t>Unfulfilled</t>
        </is>
      </c>
      <c r="C19" s="2" t="n">
        <v>14</v>
      </c>
      <c r="D19" s="2" t="n">
        <v>0</v>
      </c>
    </row>
    <row r="20">
      <c r="A20" s="2" t="n">
        <v>21</v>
      </c>
      <c r="B20" s="2" t="inlineStr">
        <is>
          <t>On</t>
        </is>
      </c>
      <c r="C20" s="2" t="n">
        <v>15</v>
      </c>
      <c r="D20" s="7" t="n"/>
    </row>
    <row r="21">
      <c r="A21" s="2" t="n">
        <v>22</v>
      </c>
      <c r="B21" s="2" t="inlineStr">
        <is>
          <t>Off</t>
        </is>
      </c>
      <c r="C21" s="2" t="n">
        <v>15</v>
      </c>
      <c r="D21" s="7" t="n"/>
    </row>
    <row r="22">
      <c r="A22" s="2" t="n">
        <v>23</v>
      </c>
      <c r="B22" s="2" t="inlineStr">
        <is>
          <t>On</t>
        </is>
      </c>
      <c r="C22" s="2" t="n">
        <v>16</v>
      </c>
      <c r="D22" s="7" t="n"/>
    </row>
    <row r="23">
      <c r="A23" s="2" t="n">
        <v>24</v>
      </c>
      <c r="B23" s="2" t="inlineStr">
        <is>
          <t>Off</t>
        </is>
      </c>
      <c r="C23" s="2" t="n">
        <v>16</v>
      </c>
      <c r="D23" s="7"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26" customWidth="1" min="3" max="3"/>
    <col width="58" customWidth="1" min="4" max="4"/>
    <col width="52" customWidth="1" min="5" max="5"/>
  </cols>
  <sheetData>
    <row r="1" ht="28" customHeight="1">
      <c r="A1" s="1" t="inlineStr">
        <is>
          <t>#</t>
        </is>
      </c>
      <c r="B1" s="1" t="inlineStr">
        <is>
          <t>Severity</t>
        </is>
      </c>
      <c r="C1" s="1" t="inlineStr">
        <is>
          <t>Where</t>
        </is>
      </c>
      <c r="D1" s="1" t="inlineStr">
        <is>
          <t>Issue</t>
        </is>
      </c>
      <c r="E1" s="1" t="inlineStr">
        <is>
          <t>Suggested fix</t>
        </is>
      </c>
    </row>
    <row r="2" ht="42" customHeight="1">
      <c r="A2" s="2" t="n">
        <v>1</v>
      </c>
      <c r="B2" s="8" t="inlineStr">
        <is>
          <t>Blocking</t>
        </is>
      </c>
      <c r="C2" s="2" t="inlineStr">
        <is>
          <t>StatementProperty</t>
        </is>
      </c>
      <c r="D2" s="3" t="inlineStr">
        <is>
          <t>No foreign key to Statement or EquipmentType. Nothing says which equipment a property belongs to, so properties and statements cannot be joined.</t>
        </is>
      </c>
      <c r="E2" s="3" t="inlineStr">
        <is>
          <t>Add an EquipmentId column (or a link table if a property is shared across equipment).</t>
        </is>
      </c>
    </row>
    <row r="3" ht="42" customHeight="1">
      <c r="A3" s="2" t="n">
        <v>2</v>
      </c>
      <c r="B3" s="9" t="inlineStr">
        <is>
          <t>High</t>
        </is>
      </c>
      <c r="C3" s="2" t="inlineStr">
        <is>
          <t>StatementProperty - 6 rows</t>
        </is>
      </c>
      <c r="D3" s="3" t="inlineStr">
        <is>
          <t>PlcVariable is the placeholder 'New Instance' for MCC Trip, VOP, Trip Alarm, Run Fail Alarm, Run Fail Buzzer, Trip Buzzer.</t>
        </is>
      </c>
      <c r="E3" s="3" t="inlineStr">
        <is>
          <t>Assign real tag names. Generated code cannot reference a placeholder, and validation cannot check it.</t>
        </is>
      </c>
    </row>
    <row r="4" ht="42" customHeight="1">
      <c r="A4" s="2" t="n">
        <v>3</v>
      </c>
      <c r="B4" s="9" t="inlineStr">
        <is>
          <t>High</t>
        </is>
      </c>
      <c r="C4" s="2" t="inlineStr">
        <is>
          <t>StatementTerm - TermId 3 and 4</t>
        </is>
      </c>
      <c r="D4" s="3" t="inlineStr">
        <is>
          <t>Trip Off = 0 and Trip On = 0. Both states carry the same value.</t>
        </is>
      </c>
      <c r="E4" s="3" t="inlineStr">
        <is>
          <t>Trip On is most likely 1. Confirm against the PLC.</t>
        </is>
      </c>
    </row>
    <row r="5" ht="42" customHeight="1">
      <c r="A5" s="2" t="n">
        <v>4</v>
      </c>
      <c r="B5" s="9" t="inlineStr">
        <is>
          <t>Medium</t>
        </is>
      </c>
      <c r="C5" s="2" t="inlineStr">
        <is>
          <t>StatementProperty</t>
        </is>
      </c>
      <c r="D5" s="3" t="inlineStr">
        <is>
          <t>No DataType column. The translator needs BOOL / INT / TON / TIME to choose TRUE/FALSE versus 1/0, and to call timers correctly.</t>
        </is>
      </c>
      <c r="E5" s="3" t="inlineStr">
        <is>
          <t>Fill the DataType column added on the StatementProperty sheet.</t>
        </is>
      </c>
    </row>
    <row r="6" ht="42" customHeight="1">
      <c r="A6" s="2" t="n">
        <v>5</v>
      </c>
      <c r="B6" s="9" t="inlineStr">
        <is>
          <t>Medium</t>
        </is>
      </c>
      <c r="C6" s="2" t="inlineStr">
        <is>
          <t>StatementTerm - 10 rows</t>
        </is>
      </c>
      <c r="D6" s="3" t="inlineStr">
        <is>
          <t>PlcValue is blank for every On/Off pair (TermIds 7, 8, 15-18, 21-24).</t>
        </is>
      </c>
      <c r="E6" s="3" t="inlineStr">
        <is>
          <t>Fill in, or confirm these are BOOL where On = TRUE and Off = FALSE and no numeric value is needed.</t>
        </is>
      </c>
    </row>
    <row r="7" ht="42" customHeight="1">
      <c r="A7" s="2" t="n">
        <v>6</v>
      </c>
      <c r="B7" s="9" t="inlineStr">
        <is>
          <t>Low</t>
        </is>
      </c>
      <c r="C7" s="2" t="inlineStr">
        <is>
          <t>Statement - Ids 1 and 3, 2 and 4</t>
        </is>
      </c>
      <c r="D7" s="3" t="inlineStr">
        <is>
          <t>'Operation' and 'System Handle' each appear twice, once per equipment, with different content.</t>
        </is>
      </c>
      <c r="E7" s="3" t="inlineStr">
        <is>
          <t>Correct if intended - the name is unique per equipment, not globally. Worth noting for anyone reading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2026-09-30T01:47:18Z</dcterms:created>
  <dcterms:modified xmlns:dcterms="http://purl.org/dc/terms/" xmlns:xsi="http://www.w3.org/2001/XMLSchema-instance" xsi:type="dcterms:W3CDTF">2026-09-30T01:47:18Z</dcterms:modified>
</cp:coreProperties>
</file>